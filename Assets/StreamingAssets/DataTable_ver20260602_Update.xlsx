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8_{F7902180-9301-47E2-A36A-ED01B8E6CE85}" xr6:coauthVersionLast="47" xr6:coauthVersionMax="47" xr10:uidLastSave="{00000000-0000-0000-0000-000000000000}"/>
  <bookViews>
    <workbookView xWindow="-120" yWindow="-120" windowWidth="38640" windowHeight="21240" firstSheet="1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/>
  <c r="F2" i="3"/>
</calcChain>
</file>

<file path=xl/sharedStrings.xml><?xml version="1.0" encoding="utf-8"?>
<sst xmlns="http://schemas.openxmlformats.org/spreadsheetml/2006/main" count="845" uniqueCount="396">
  <si>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</si>
  <si>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</si>
  <si>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</si>
  <si>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</si>
  <si>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</si>
  <si>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</si>
  <si>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</si>
  <si>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</si>
  <si>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</si>
  <si>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</si>
  <si>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</si>
  <si>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</si>
  <si>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</si>
  <si>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</si>
  <si>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</si>
  <si>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</si>
  <si>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</si>
  <si>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</si>
  <si>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</si>
  <si>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</si>
  <si>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</si>
  <si>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</si>
  <si>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</si>
  <si>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</si>
  <si>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</si>
  <si>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</si>
  <si>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</si>
  <si>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Note</t>
  </si>
  <si>
    <t>AT101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</si>
  <si>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</si>
  <si>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</si>
  <si>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</si>
  <si>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</si>
  <si>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</si>
  <si>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</si>
  <si>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</si>
  <si>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전단 암모니아 센서</t>
  </si>
  <si>
    <t>AT102</t>
  </si>
  <si>
    <t>챔버 중하단 암모니아 센서</t>
  </si>
  <si>
    <t>AT103</t>
  </si>
  <si>
    <t>챔버 중산단 암모니아 센서</t>
  </si>
  <si>
    <t>AT104</t>
  </si>
  <si>
    <t>챔버 후단 암모니아 센서</t>
  </si>
  <si>
    <t>TT101</t>
  </si>
  <si>
    <t>Temperature</t>
  </si>
  <si>
    <t>외기 온도</t>
  </si>
  <si>
    <t>TT102</t>
  </si>
  <si>
    <t>배출 공기 온도</t>
  </si>
  <si>
    <t>TT202</t>
  </si>
  <si>
    <t>Ammonia Supply</t>
  </si>
  <si>
    <t>암모니아 공급 온도</t>
  </si>
  <si>
    <t>TT301</t>
  </si>
  <si>
    <t>Water Supply</t>
  </si>
  <si>
    <t>Water Supply 온도</t>
  </si>
  <si>
    <t>PT302</t>
  </si>
  <si>
    <t>Pressure</t>
  </si>
  <si>
    <t>Water Supply 압력</t>
  </si>
  <si>
    <t>FT303</t>
  </si>
  <si>
    <t>Flow</t>
  </si>
  <si>
    <t>Analog_B</t>
  </si>
  <si>
    <t>Water Supply 유량 1</t>
  </si>
  <si>
    <t>FT304</t>
  </si>
  <si>
    <t>Water Supply 유량 2</t>
  </si>
  <si>
    <t>VF101</t>
  </si>
  <si>
    <t>Velocity</t>
  </si>
  <si>
    <t>챔버 내부 풍속계</t>
  </si>
  <si>
    <t>FC201_Pos</t>
  </si>
  <si>
    <t>Control</t>
    <phoneticPr fontId="1" type="noConversion"/>
  </si>
  <si>
    <t>Setting</t>
    <phoneticPr fontId="1" type="noConversion"/>
  </si>
  <si>
    <t>Opening Opsition</t>
  </si>
  <si>
    <t>Analog_MFC</t>
  </si>
  <si>
    <t>FC201</t>
  </si>
  <si>
    <t>FC201_Flow</t>
  </si>
  <si>
    <t>FC201_Inte</t>
  </si>
  <si>
    <t>Inte</t>
    <phoneticPr fontId="1" type="noConversion"/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</si>
  <si>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</si>
  <si>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</si>
  <si>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</si>
  <si>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</si>
  <si>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</si>
  <si>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</si>
  <si>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</si>
  <si>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</si>
  <si>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</si>
  <si>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</si>
  <si>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</si>
  <si>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</si>
  <si>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</si>
  <si>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</si>
  <si>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</si>
  <si>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</si>
  <si>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</si>
  <si>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</si>
  <si>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</si>
  <si>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</si>
  <si>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</si>
  <si>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</si>
  <si>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</si>
  <si>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PP301</t>
  </si>
  <si>
    <t>AO</t>
  </si>
  <si>
    <t>RPM</t>
  </si>
  <si>
    <t>LP PUMP</t>
  </si>
  <si>
    <t>LP Pump RPM</t>
  </si>
  <si>
    <t>PP302</t>
  </si>
  <si>
    <t>HP PUMP</t>
  </si>
  <si>
    <t>HP Pump RPM</t>
  </si>
  <si>
    <t>FAN101</t>
  </si>
  <si>
    <t>Analog_Inverter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</si>
  <si>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</si>
  <si>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</si>
  <si>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</si>
  <si>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</si>
  <si>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</si>
  <si>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</si>
  <si>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</si>
  <si>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</si>
  <si>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</si>
  <si>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</si>
  <si>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</si>
  <si>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</si>
  <si>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</si>
  <si>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</si>
  <si>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</si>
  <si>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</si>
  <si>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</si>
  <si>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</si>
  <si>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</si>
  <si>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</si>
  <si>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</si>
  <si>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</si>
  <si>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</si>
  <si>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</si>
  <si>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</si>
  <si>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</si>
  <si>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</si>
  <si>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LS401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</si>
  <si>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</si>
  <si>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</si>
  <si>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</si>
  <si>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</si>
  <si>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</si>
  <si>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</si>
  <si>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</si>
  <si>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Value</t>
  </si>
  <si>
    <t>Status</t>
  </si>
  <si>
    <t>Digital_A</t>
  </si>
  <si>
    <t>SV302</t>
  </si>
  <si>
    <t>SV101 밸브 상태</t>
    <phoneticPr fontId="1" type="noConversion"/>
  </si>
  <si>
    <t>SV302_Status</t>
  </si>
  <si>
    <t>SV303</t>
  </si>
  <si>
    <t>SV102 밸브 상태</t>
    <phoneticPr fontId="1" type="noConversion"/>
  </si>
  <si>
    <t>PP401_Status</t>
  </si>
  <si>
    <t>Control</t>
  </si>
  <si>
    <t>PP401</t>
  </si>
  <si>
    <t>Dreain Pump 상태</t>
  </si>
  <si>
    <t>Ex_Stop</t>
  </si>
  <si>
    <t>Bool</t>
    <phoneticPr fontId="1" type="noConversion"/>
  </si>
  <si>
    <t>현재 실험 종료</t>
  </si>
  <si>
    <t>Ex_Start</t>
  </si>
  <si>
    <t>DO</t>
  </si>
  <si>
    <t>실험 시작 Triger</t>
  </si>
  <si>
    <t>Ex_Reset</t>
    <phoneticPr fontId="1" type="noConversion"/>
  </si>
  <si>
    <t>DO</t>
    <phoneticPr fontId="1" type="noConversion"/>
  </si>
  <si>
    <t>실험 재정비 절차 시작</t>
  </si>
  <si>
    <t>SV301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</si>
  <si>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</si>
  <si>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</si>
  <si>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</si>
  <si>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</si>
  <si>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</si>
  <si>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</si>
  <si>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</si>
  <si>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</si>
  <si>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</si>
  <si>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</si>
  <si>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</si>
  <si>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</si>
  <si>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</si>
  <si>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</si>
  <si>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</si>
  <si>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</si>
  <si>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</si>
  <si>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</si>
  <si>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</si>
  <si>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</si>
  <si>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</si>
  <si>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</si>
  <si>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</si>
  <si>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</si>
  <si>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</si>
  <si>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</si>
  <si>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</si>
  <si>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</si>
  <si>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</si>
  <si>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</si>
  <si>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</si>
  <si>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</si>
  <si>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</si>
  <si>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</si>
  <si>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</si>
  <si>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</si>
  <si>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</si>
  <si>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</si>
  <si>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</si>
  <si>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</si>
  <si>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</si>
  <si>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</si>
  <si>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</si>
  <si>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</si>
  <si>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</si>
  <si>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</si>
  <si>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</si>
  <si>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</si>
  <si>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</si>
  <si>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</si>
  <si>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</si>
  <si>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</si>
  <si>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</si>
  <si>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</si>
  <si>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</si>
  <si>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</si>
  <si>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</si>
  <si>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</si>
  <si>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No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</si>
  <si>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</si>
  <si>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</si>
  <si>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</si>
  <si>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</si>
  <si>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</si>
  <si>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</si>
  <si>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</si>
  <si>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</si>
  <si>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</si>
  <si>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</si>
  <si>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</si>
  <si>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</si>
  <si>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</si>
  <si>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</si>
  <si>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</si>
  <si>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</si>
  <si>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</si>
  <si>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</si>
  <si>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</si>
  <si>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</si>
  <si>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</si>
  <si>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</si>
  <si>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</si>
  <si>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</si>
  <si>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</si>
  <si>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</si>
  <si>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</si>
  <si>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</si>
  <si>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</si>
  <si>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</si>
  <si>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</si>
  <si>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</si>
  <si>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</si>
  <si>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</si>
  <si>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</si>
  <si>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</si>
  <si>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</si>
  <si>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</si>
  <si>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</si>
  <si>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</si>
  <si>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</si>
  <si>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</si>
  <si>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</si>
  <si>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</si>
  <si>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</si>
  <si>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</si>
  <si>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</si>
  <si>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</si>
  <si>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</si>
  <si>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</si>
  <si>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</si>
  <si>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</si>
  <si>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</si>
  <si>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</si>
  <si>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</si>
  <si>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</si>
  <si>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</si>
  <si>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</si>
  <si>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</si>
  <si>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</si>
  <si>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</si>
  <si>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</si>
  <si>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</si>
  <si>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</si>
  <si>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</si>
  <si>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</si>
  <si>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</si>
  <si>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</si>
  <si>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</si>
  <si>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</si>
  <si>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</si>
  <si>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</si>
  <si>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</si>
  <si>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</si>
  <si>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</si>
  <si>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</si>
  <si>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</si>
  <si>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</si>
  <si>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</si>
  <si>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</si>
  <si>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</si>
  <si>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</si>
  <si>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</si>
  <si>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</si>
  <si>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</si>
  <si>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</si>
  <si>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</si>
  <si>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</si>
  <si>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</si>
  <si>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</si>
  <si>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</si>
  <si>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</si>
  <si>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</si>
  <si>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</si>
  <si>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</si>
  <si>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</si>
  <si>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</si>
  <si>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</si>
  <si>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</si>
  <si>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</si>
  <si>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</si>
  <si>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</si>
  <si>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</si>
  <si>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</si>
  <si>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</si>
  <si>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</si>
  <si>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</si>
  <si>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</si>
  <si>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</si>
  <si>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</si>
  <si>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</si>
  <si>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</si>
  <si>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</si>
  <si>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</si>
  <si>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</si>
  <si>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</si>
  <si>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</si>
  <si>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</si>
  <si>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</si>
  <si>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</si>
  <si>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</si>
  <si>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</si>
  <si>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</si>
  <si>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</si>
  <si>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</si>
  <si>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</si>
  <si>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</si>
  <si>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</si>
  <si>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</si>
  <si>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</si>
  <si>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</si>
  <si>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</si>
  <si>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</si>
  <si>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</si>
  <si>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Model</t>
  </si>
  <si>
    <t>제어 방식</t>
  </si>
  <si>
    <t>Maker</t>
  </si>
  <si>
    <t>결선 방식</t>
  </si>
  <si>
    <t>사용할 변수</t>
  </si>
  <si>
    <t>설명</t>
  </si>
  <si>
    <t>참버 중하단 암모니아 센서</t>
  </si>
  <si>
    <t>챔버 중상단 암모니아 센서</t>
  </si>
  <si>
    <t>외기온도</t>
  </si>
  <si>
    <t>Water Supply 소유량</t>
  </si>
  <si>
    <t>Water Supply 대유량</t>
  </si>
  <si>
    <t>암모니아 공급 MFC</t>
  </si>
  <si>
    <t>Sol Valve</t>
  </si>
  <si>
    <t>Modbus RS-485</t>
  </si>
  <si>
    <t>2 Wire</t>
  </si>
  <si>
    <t>Digital Output</t>
  </si>
  <si>
    <t>RS-485</t>
  </si>
  <si>
    <t>Opening Value</t>
  </si>
  <si>
    <t>Current Opening Value</t>
  </si>
  <si>
    <t>Integration Value</t>
  </si>
  <si>
    <t>Analog Input</t>
  </si>
  <si>
    <t xml:space="preserve">고속 </t>
  </si>
  <si>
    <t>고속</t>
  </si>
  <si>
    <t>FT304_Pulse</t>
  </si>
  <si>
    <t>Water Supply 유량 2 고속 펄스 카운팅</t>
  </si>
  <si>
    <t>MFC는 수시로 통신을 받아와야 함.
 Ch 2번에 독립적으로 배선할것</t>
  </si>
  <si>
    <t>재수펌프</t>
  </si>
  <si>
    <t>Digital Input</t>
  </si>
  <si>
    <t>재수펌프 Sub-Tank Limit Switch
HH-LL(2Point)</t>
  </si>
  <si>
    <t>HH Signal</t>
  </si>
  <si>
    <t>LL Signal</t>
  </si>
  <si>
    <t>HH sig는 PP401에 기동 명령 
LL sig는 PP401에 정지 명령</t>
  </si>
  <si>
    <t>챔버 공기 순환 FAN RPM Set</t>
  </si>
  <si>
    <t>챔버 공기 순환 FAN RPM Read</t>
  </si>
  <si>
    <t>통신으로 셋팅</t>
  </si>
  <si>
    <t>통신으로 Read</t>
  </si>
  <si>
    <t>FAN101_Set</t>
  </si>
  <si>
    <t>Set 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</si>
</sst>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1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/>
    <xf numFmtId="0" fontId="0" fillId="0" borderId="1" xfId="0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</cellXfs>
  <cellStyles count="3">
    <cellStyle name="Hyperlink" xfId="2" xr:uid="{00000000-000B-0000-0000-000008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J30" sqref="J30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/>
  </sheetViews>
  <sheetFormatPr defaultRowHeight="16.5"/>
  <cols>
    <col min="5" max="5" width="30.625" bestFit="1" customWidth="1"/>
    <col min="7" max="7" width="14.375" bestFit="1" customWidth="1"/>
    <col min="8" max="8" width="22.75" bestFit="1" customWidth="1"/>
    <col min="9" max="9" width="33" bestFit="1" customWidth="1"/>
  </cols>
  <sheetData>
    <row r="1" spans="1:9">
      <c r="A1" s="64" t="s">
        <v>223</v>
      </c>
      <c r="B1" s="64" t="s">
        <v>11</v>
      </c>
      <c r="C1" s="64" t="s">
        <v>358</v>
      </c>
      <c r="D1" s="64" t="s">
        <v>360</v>
      </c>
      <c r="E1" s="64" t="s">
        <v>363</v>
      </c>
      <c r="F1" s="64" t="s">
        <v>361</v>
      </c>
      <c r="G1" s="64" t="s">
        <v>359</v>
      </c>
      <c r="H1" s="64" t="s">
        <v>362</v>
      </c>
      <c r="I1" s="62" t="s">
        <v>27</v>
      </c>
    </row>
    <row r="2" spans="1:9">
      <c r="A2" s="68">
        <v>1</v>
      </c>
      <c r="B2" s="11" t="s">
        <v>28</v>
      </c>
      <c r="C2" s="64"/>
      <c r="D2" s="64"/>
      <c r="E2" s="64" t="s">
        <v>36</v>
      </c>
      <c r="F2" s="64"/>
      <c r="G2" s="64"/>
      <c r="H2" s="64"/>
      <c r="I2" s="62"/>
    </row>
    <row r="3" spans="1:9">
      <c r="A3" s="68">
        <v>2</v>
      </c>
      <c r="B3" s="11" t="s">
        <v>37</v>
      </c>
      <c r="C3" s="64"/>
      <c r="D3" s="64"/>
      <c r="E3" s="64" t="s">
        <v>364</v>
      </c>
      <c r="F3" s="64"/>
      <c r="G3" s="64"/>
      <c r="H3" s="64"/>
      <c r="I3" s="62"/>
    </row>
    <row r="4" spans="1:9">
      <c r="A4" s="68">
        <v>3</v>
      </c>
      <c r="B4" s="11" t="s">
        <v>39</v>
      </c>
      <c r="C4" s="64"/>
      <c r="D4" s="64"/>
      <c r="E4" s="64" t="s">
        <v>365</v>
      </c>
      <c r="F4" s="64"/>
      <c r="G4" s="64"/>
      <c r="H4" s="64"/>
      <c r="I4" s="62"/>
    </row>
    <row r="5" spans="1:9">
      <c r="A5" s="68">
        <v>4</v>
      </c>
      <c r="B5" s="11" t="s">
        <v>41</v>
      </c>
      <c r="C5" s="64"/>
      <c r="D5" s="64"/>
      <c r="E5" s="64" t="s">
        <v>42</v>
      </c>
      <c r="F5" s="64"/>
      <c r="G5" s="64"/>
      <c r="H5" s="64"/>
      <c r="I5" s="62"/>
    </row>
    <row r="6" spans="1:9">
      <c r="A6" s="68">
        <v>5</v>
      </c>
      <c r="B6" s="11" t="s">
        <v>43</v>
      </c>
      <c r="C6" s="64"/>
      <c r="D6" s="64"/>
      <c r="E6" s="64" t="s">
        <v>366</v>
      </c>
      <c r="F6" s="64"/>
      <c r="G6" s="64"/>
      <c r="H6" s="64"/>
      <c r="I6" s="62"/>
    </row>
    <row r="7" spans="1:9">
      <c r="A7" s="68">
        <v>6</v>
      </c>
      <c r="B7" s="11" t="s">
        <v>46</v>
      </c>
      <c r="C7" s="64"/>
      <c r="D7" s="64"/>
      <c r="E7" s="64" t="s">
        <v>47</v>
      </c>
      <c r="F7" s="64"/>
      <c r="G7" s="64"/>
      <c r="H7" s="64"/>
      <c r="I7" s="62"/>
    </row>
    <row r="8" spans="1:9">
      <c r="A8" s="68">
        <v>7</v>
      </c>
      <c r="B8" s="11" t="s">
        <v>48</v>
      </c>
      <c r="C8" s="64"/>
      <c r="D8" s="64"/>
      <c r="E8" s="64" t="s">
        <v>50</v>
      </c>
      <c r="F8" s="64"/>
      <c r="G8" s="64"/>
      <c r="H8" s="64"/>
      <c r="I8" s="62"/>
    </row>
    <row r="9" spans="1:9">
      <c r="A9" s="68">
        <v>8</v>
      </c>
      <c r="B9" s="11" t="s">
        <v>51</v>
      </c>
      <c r="C9" s="64"/>
      <c r="D9" s="64"/>
      <c r="E9" s="64" t="s">
        <v>53</v>
      </c>
      <c r="F9" s="64"/>
      <c r="G9" s="64"/>
      <c r="H9" s="64"/>
      <c r="I9" s="62"/>
    </row>
    <row r="10" spans="1:9">
      <c r="A10" s="68">
        <v>9</v>
      </c>
      <c r="B10" s="11" t="s">
        <v>54</v>
      </c>
      <c r="C10" s="64"/>
      <c r="D10" s="64"/>
      <c r="E10" s="64" t="s">
        <v>56</v>
      </c>
      <c r="F10" s="64"/>
      <c r="G10" s="64"/>
      <c r="H10" s="64"/>
      <c r="I10" s="62"/>
    </row>
    <row r="11" spans="1:9">
      <c r="A11" s="71">
        <v>10</v>
      </c>
      <c r="B11" s="72" t="s">
        <v>57</v>
      </c>
      <c r="C11" s="73"/>
      <c r="D11" s="73"/>
      <c r="E11" s="73" t="s">
        <v>368</v>
      </c>
      <c r="F11" s="64" t="s">
        <v>372</v>
      </c>
      <c r="G11" s="64" t="s">
        <v>378</v>
      </c>
      <c r="H11" s="64" t="s">
        <v>58</v>
      </c>
      <c r="I11" s="62"/>
    </row>
    <row r="12" spans="1:9">
      <c r="A12" s="71"/>
      <c r="B12" s="72"/>
      <c r="C12" s="73"/>
      <c r="D12" s="73"/>
      <c r="E12" s="73"/>
      <c r="F12" s="64" t="s">
        <v>372</v>
      </c>
      <c r="G12" s="64" t="s">
        <v>380</v>
      </c>
      <c r="H12" s="64" t="s">
        <v>377</v>
      </c>
      <c r="I12" s="62"/>
    </row>
    <row r="13" spans="1:9">
      <c r="A13" s="71">
        <v>11</v>
      </c>
      <c r="B13" s="72" t="s">
        <v>61</v>
      </c>
      <c r="C13" s="73"/>
      <c r="D13" s="73"/>
      <c r="E13" s="73" t="s">
        <v>367</v>
      </c>
      <c r="F13" s="64" t="s">
        <v>372</v>
      </c>
      <c r="G13" s="64" t="s">
        <v>378</v>
      </c>
      <c r="H13" s="64" t="s">
        <v>58</v>
      </c>
      <c r="I13" s="62"/>
    </row>
    <row r="14" spans="1:9">
      <c r="A14" s="71"/>
      <c r="B14" s="72"/>
      <c r="C14" s="73"/>
      <c r="D14" s="73"/>
      <c r="E14" s="73"/>
      <c r="F14" s="64" t="s">
        <v>372</v>
      </c>
      <c r="G14" s="64" t="s">
        <v>379</v>
      </c>
      <c r="H14" s="64" t="s">
        <v>377</v>
      </c>
      <c r="I14" s="62"/>
    </row>
    <row r="15" spans="1:9">
      <c r="A15" s="68">
        <v>12</v>
      </c>
      <c r="B15" s="11" t="s">
        <v>63</v>
      </c>
      <c r="C15" s="64"/>
      <c r="D15" s="64"/>
      <c r="E15" s="64" t="s">
        <v>65</v>
      </c>
      <c r="F15" s="64"/>
      <c r="G15" s="64"/>
      <c r="H15" s="64"/>
      <c r="I15" s="62"/>
    </row>
    <row r="16" spans="1:9">
      <c r="A16" s="71">
        <v>13</v>
      </c>
      <c r="B16" s="73" t="s">
        <v>71</v>
      </c>
      <c r="C16" s="73"/>
      <c r="D16" s="73"/>
      <c r="E16" s="73" t="s">
        <v>369</v>
      </c>
      <c r="F16" s="73" t="s">
        <v>374</v>
      </c>
      <c r="G16" s="73" t="s">
        <v>371</v>
      </c>
      <c r="H16" s="64" t="s">
        <v>375</v>
      </c>
      <c r="I16" s="74" t="s">
        <v>383</v>
      </c>
    </row>
    <row r="17" spans="1:9">
      <c r="A17" s="71"/>
      <c r="B17" s="73"/>
      <c r="C17" s="73"/>
      <c r="D17" s="73"/>
      <c r="E17" s="73"/>
      <c r="F17" s="73"/>
      <c r="G17" s="73"/>
      <c r="H17" s="64" t="s">
        <v>376</v>
      </c>
      <c r="I17" s="67"/>
    </row>
    <row r="18" spans="1:9">
      <c r="A18" s="71"/>
      <c r="B18" s="73"/>
      <c r="C18" s="73"/>
      <c r="D18" s="73"/>
      <c r="E18" s="73"/>
      <c r="F18" s="73"/>
      <c r="G18" s="73"/>
      <c r="H18" s="64" t="s">
        <v>377</v>
      </c>
      <c r="I18" s="67"/>
    </row>
    <row r="19" spans="1:9">
      <c r="A19" s="71"/>
      <c r="B19" s="73"/>
      <c r="C19" s="73"/>
      <c r="D19" s="73"/>
      <c r="E19" s="73"/>
      <c r="F19" s="73"/>
      <c r="G19" s="73"/>
      <c r="H19" s="64" t="s">
        <v>58</v>
      </c>
      <c r="I19" s="67"/>
    </row>
    <row r="20" spans="1:9">
      <c r="A20" s="71"/>
      <c r="B20" s="73"/>
      <c r="C20" s="73"/>
      <c r="D20" s="73"/>
      <c r="E20" s="73"/>
      <c r="F20" s="73"/>
      <c r="G20" s="73"/>
      <c r="H20" s="64"/>
      <c r="I20" s="62"/>
    </row>
    <row r="21" spans="1:9">
      <c r="A21" s="71"/>
      <c r="B21" s="73"/>
      <c r="C21" s="73"/>
      <c r="D21" s="73"/>
      <c r="E21" s="73"/>
      <c r="F21" s="73"/>
      <c r="G21" s="73"/>
      <c r="H21" s="64"/>
      <c r="I21" s="62"/>
    </row>
    <row r="22" spans="1:9">
      <c r="A22" s="68">
        <v>15</v>
      </c>
      <c r="B22" s="64" t="s">
        <v>164</v>
      </c>
      <c r="C22" s="64"/>
      <c r="D22" s="64"/>
      <c r="E22" s="64" t="s">
        <v>370</v>
      </c>
      <c r="F22" s="64" t="s">
        <v>372</v>
      </c>
      <c r="G22" s="64" t="s">
        <v>373</v>
      </c>
      <c r="H22" s="64"/>
      <c r="I22" s="62"/>
    </row>
    <row r="23" spans="1:9">
      <c r="A23" s="68">
        <v>16</v>
      </c>
      <c r="B23" s="64" t="s">
        <v>146</v>
      </c>
      <c r="C23" s="64"/>
      <c r="D23" s="64"/>
      <c r="E23" s="64" t="s">
        <v>370</v>
      </c>
      <c r="F23" s="64" t="s">
        <v>372</v>
      </c>
      <c r="G23" s="64" t="s">
        <v>373</v>
      </c>
      <c r="H23" s="64"/>
      <c r="I23" s="62"/>
    </row>
    <row r="24" spans="1:9">
      <c r="A24" s="68">
        <v>17</v>
      </c>
      <c r="B24" s="64" t="s">
        <v>153</v>
      </c>
      <c r="C24" s="64"/>
      <c r="D24" s="64"/>
      <c r="E24" s="64" t="s">
        <v>384</v>
      </c>
      <c r="F24" s="64" t="s">
        <v>372</v>
      </c>
      <c r="G24" s="64" t="s">
        <v>373</v>
      </c>
      <c r="H24" s="64"/>
      <c r="I24" s="62"/>
    </row>
    <row r="25" spans="1:9" s="1" customFormat="1">
      <c r="A25" s="67">
        <v>18</v>
      </c>
      <c r="B25" s="67" t="s">
        <v>135</v>
      </c>
      <c r="C25" s="65"/>
      <c r="D25" s="65"/>
      <c r="E25" s="74" t="s">
        <v>386</v>
      </c>
      <c r="F25" s="65"/>
      <c r="G25" s="67" t="s">
        <v>385</v>
      </c>
      <c r="H25" s="64" t="s">
        <v>387</v>
      </c>
      <c r="I25" s="75" t="s">
        <v>389</v>
      </c>
    </row>
    <row r="26" spans="1:9" s="1" customFormat="1">
      <c r="A26" s="67"/>
      <c r="B26" s="67"/>
      <c r="C26" s="66"/>
      <c r="D26" s="66"/>
      <c r="E26" s="74"/>
      <c r="F26" s="66"/>
      <c r="G26" s="67"/>
      <c r="H26" s="64" t="s">
        <v>388</v>
      </c>
      <c r="I26" s="66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A20:A21"/>
    <mergeCell ref="G16:G19"/>
    <mergeCell ref="F16:F19"/>
    <mergeCell ref="E16:E19"/>
    <mergeCell ref="B16:B19"/>
    <mergeCell ref="A16:A19"/>
    <mergeCell ref="D16:D19"/>
    <mergeCell ref="C16:C19"/>
    <mergeCell ref="G20:G21"/>
    <mergeCell ref="F20:F21"/>
    <mergeCell ref="E20:E21"/>
    <mergeCell ref="D20:D21"/>
    <mergeCell ref="C20:C21"/>
    <mergeCell ref="B20:B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0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U15" sqref="U15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69" t="s">
        <v>10</v>
      </c>
      <c r="B1" s="69" t="s">
        <v>11</v>
      </c>
      <c r="C1" s="69" t="s">
        <v>12</v>
      </c>
      <c r="D1" s="69" t="s">
        <v>13</v>
      </c>
      <c r="E1" s="69" t="s">
        <v>14</v>
      </c>
      <c r="F1" s="69" t="s">
        <v>15</v>
      </c>
      <c r="G1" s="69" t="s">
        <v>16</v>
      </c>
      <c r="H1" s="69" t="s">
        <v>17</v>
      </c>
      <c r="I1" s="69" t="s">
        <v>18</v>
      </c>
      <c r="J1" s="69" t="s">
        <v>19</v>
      </c>
      <c r="K1" s="69" t="s">
        <v>20</v>
      </c>
      <c r="L1" s="69" t="s">
        <v>21</v>
      </c>
      <c r="M1" s="69" t="s">
        <v>22</v>
      </c>
      <c r="N1" s="69" t="s">
        <v>23</v>
      </c>
      <c r="O1" s="69" t="s">
        <v>24</v>
      </c>
      <c r="P1" s="69" t="s">
        <v>25</v>
      </c>
      <c r="Q1" s="69" t="s">
        <v>26</v>
      </c>
      <c r="R1" s="69" t="s">
        <v>27</v>
      </c>
    </row>
    <row r="2" spans="1:18">
      <c r="A2" s="64">
        <v>1</v>
      </c>
      <c r="B2" s="64" t="s">
        <v>28</v>
      </c>
      <c r="C2" s="64" t="s">
        <v>29</v>
      </c>
      <c r="D2" s="64" t="s">
        <v>30</v>
      </c>
      <c r="E2" s="64" t="s">
        <v>31</v>
      </c>
      <c r="F2" s="64" t="s">
        <v>32</v>
      </c>
      <c r="G2" s="64" t="s">
        <v>33</v>
      </c>
      <c r="H2" s="64" t="s">
        <v>28</v>
      </c>
      <c r="I2" s="64" t="s">
        <v>34</v>
      </c>
      <c r="J2" s="64" t="s">
        <v>35</v>
      </c>
      <c r="K2" s="64">
        <v>0</v>
      </c>
      <c r="L2" s="64">
        <v>100</v>
      </c>
      <c r="M2" s="64">
        <v>0</v>
      </c>
      <c r="N2" s="64">
        <v>16000</v>
      </c>
      <c r="O2" s="64">
        <v>0</v>
      </c>
      <c r="P2" s="64" t="b">
        <v>1</v>
      </c>
      <c r="Q2" s="64" t="s">
        <v>36</v>
      </c>
      <c r="R2" s="64"/>
    </row>
    <row r="3" spans="1:18">
      <c r="A3" s="64">
        <v>2</v>
      </c>
      <c r="B3" s="64" t="s">
        <v>37</v>
      </c>
      <c r="C3" s="64" t="s">
        <v>29</v>
      </c>
      <c r="D3" s="64" t="s">
        <v>30</v>
      </c>
      <c r="E3" s="64" t="s">
        <v>31</v>
      </c>
      <c r="F3" s="64" t="s">
        <v>32</v>
      </c>
      <c r="G3" s="64" t="s">
        <v>33</v>
      </c>
      <c r="H3" s="64" t="s">
        <v>37</v>
      </c>
      <c r="I3" s="64" t="s">
        <v>34</v>
      </c>
      <c r="J3" s="64" t="s">
        <v>35</v>
      </c>
      <c r="K3" s="64">
        <v>0</v>
      </c>
      <c r="L3" s="64">
        <v>100</v>
      </c>
      <c r="M3" s="64">
        <v>0</v>
      </c>
      <c r="N3" s="64">
        <v>16000</v>
      </c>
      <c r="O3" s="64">
        <v>1</v>
      </c>
      <c r="P3" s="64" t="b">
        <v>1</v>
      </c>
      <c r="Q3" s="64" t="s">
        <v>38</v>
      </c>
      <c r="R3" s="64"/>
    </row>
    <row r="4" spans="1:18">
      <c r="A4" s="64">
        <v>3</v>
      </c>
      <c r="B4" s="64" t="s">
        <v>39</v>
      </c>
      <c r="C4" s="64" t="s">
        <v>29</v>
      </c>
      <c r="D4" s="64" t="s">
        <v>30</v>
      </c>
      <c r="E4" s="64" t="s">
        <v>31</v>
      </c>
      <c r="F4" s="64" t="s">
        <v>32</v>
      </c>
      <c r="G4" s="64" t="s">
        <v>33</v>
      </c>
      <c r="H4" s="64" t="s">
        <v>39</v>
      </c>
      <c r="I4" s="64" t="s">
        <v>34</v>
      </c>
      <c r="J4" s="64" t="s">
        <v>35</v>
      </c>
      <c r="K4" s="64">
        <v>0</v>
      </c>
      <c r="L4" s="64">
        <v>100</v>
      </c>
      <c r="M4" s="64">
        <v>0</v>
      </c>
      <c r="N4" s="64">
        <v>16000</v>
      </c>
      <c r="O4" s="64">
        <v>2</v>
      </c>
      <c r="P4" s="64" t="b">
        <v>1</v>
      </c>
      <c r="Q4" s="64" t="s">
        <v>40</v>
      </c>
      <c r="R4" s="64"/>
    </row>
    <row r="5" spans="1:18">
      <c r="A5" s="64">
        <v>4</v>
      </c>
      <c r="B5" s="64" t="s">
        <v>41</v>
      </c>
      <c r="C5" s="64" t="s">
        <v>29</v>
      </c>
      <c r="D5" s="64" t="s">
        <v>30</v>
      </c>
      <c r="E5" s="64" t="s">
        <v>31</v>
      </c>
      <c r="F5" s="64" t="s">
        <v>32</v>
      </c>
      <c r="G5" s="64" t="s">
        <v>33</v>
      </c>
      <c r="H5" s="64" t="s">
        <v>41</v>
      </c>
      <c r="I5" s="64" t="s">
        <v>34</v>
      </c>
      <c r="J5" s="64" t="s">
        <v>35</v>
      </c>
      <c r="K5" s="64">
        <v>0</v>
      </c>
      <c r="L5" s="64">
        <v>100</v>
      </c>
      <c r="M5" s="64">
        <v>0</v>
      </c>
      <c r="N5" s="64">
        <v>16000</v>
      </c>
      <c r="O5" s="64">
        <v>3</v>
      </c>
      <c r="P5" s="64" t="b">
        <v>1</v>
      </c>
      <c r="Q5" s="64" t="s">
        <v>42</v>
      </c>
      <c r="R5" s="64"/>
    </row>
    <row r="6" spans="1:18">
      <c r="A6" s="64">
        <v>5</v>
      </c>
      <c r="B6" s="64" t="s">
        <v>43</v>
      </c>
      <c r="C6" s="64" t="s">
        <v>29</v>
      </c>
      <c r="D6" s="64" t="s">
        <v>30</v>
      </c>
      <c r="E6" s="64" t="s">
        <v>31</v>
      </c>
      <c r="F6" s="64" t="s">
        <v>44</v>
      </c>
      <c r="G6" s="64" t="s">
        <v>33</v>
      </c>
      <c r="H6" s="64" t="s">
        <v>43</v>
      </c>
      <c r="I6" s="64" t="s">
        <v>34</v>
      </c>
      <c r="J6" s="64" t="s">
        <v>35</v>
      </c>
      <c r="K6" s="64">
        <v>0</v>
      </c>
      <c r="L6" s="64">
        <v>100</v>
      </c>
      <c r="M6" s="64">
        <v>0</v>
      </c>
      <c r="N6" s="64">
        <v>16000</v>
      </c>
      <c r="O6" s="64">
        <v>4</v>
      </c>
      <c r="P6" s="64" t="b">
        <v>1</v>
      </c>
      <c r="Q6" s="64" t="s">
        <v>45</v>
      </c>
      <c r="R6" s="64"/>
    </row>
    <row r="7" spans="1:18">
      <c r="A7" s="64">
        <v>6</v>
      </c>
      <c r="B7" s="64" t="s">
        <v>46</v>
      </c>
      <c r="C7" s="64" t="s">
        <v>29</v>
      </c>
      <c r="D7" s="64" t="s">
        <v>30</v>
      </c>
      <c r="E7" s="64" t="s">
        <v>31</v>
      </c>
      <c r="F7" s="64" t="s">
        <v>44</v>
      </c>
      <c r="G7" s="64" t="s">
        <v>33</v>
      </c>
      <c r="H7" s="64" t="s">
        <v>46</v>
      </c>
      <c r="I7" s="64" t="s">
        <v>34</v>
      </c>
      <c r="J7" s="64" t="s">
        <v>35</v>
      </c>
      <c r="K7" s="64">
        <v>0</v>
      </c>
      <c r="L7" s="64">
        <v>100</v>
      </c>
      <c r="M7" s="64">
        <v>0</v>
      </c>
      <c r="N7" s="64">
        <v>16000</v>
      </c>
      <c r="O7" s="64">
        <v>5</v>
      </c>
      <c r="P7" s="64" t="b">
        <v>1</v>
      </c>
      <c r="Q7" s="64" t="s">
        <v>47</v>
      </c>
      <c r="R7" s="64"/>
    </row>
    <row r="8" spans="1:18">
      <c r="A8" s="64">
        <v>7</v>
      </c>
      <c r="B8" s="64" t="s">
        <v>48</v>
      </c>
      <c r="C8" s="64" t="s">
        <v>29</v>
      </c>
      <c r="D8" s="64" t="s">
        <v>30</v>
      </c>
      <c r="E8" s="64" t="s">
        <v>31</v>
      </c>
      <c r="F8" s="64" t="s">
        <v>44</v>
      </c>
      <c r="G8" s="64" t="s">
        <v>33</v>
      </c>
      <c r="H8" s="64" t="s">
        <v>48</v>
      </c>
      <c r="I8" s="64" t="s">
        <v>49</v>
      </c>
      <c r="J8" s="64" t="s">
        <v>35</v>
      </c>
      <c r="K8" s="64">
        <v>0</v>
      </c>
      <c r="L8" s="64">
        <v>100</v>
      </c>
      <c r="M8" s="64">
        <v>0</v>
      </c>
      <c r="N8" s="64">
        <v>16000</v>
      </c>
      <c r="O8" s="64">
        <v>6</v>
      </c>
      <c r="P8" s="64" t="b">
        <v>1</v>
      </c>
      <c r="Q8" s="64" t="s">
        <v>50</v>
      </c>
      <c r="R8" s="64"/>
    </row>
    <row r="9" spans="1:18">
      <c r="A9" s="64">
        <v>8</v>
      </c>
      <c r="B9" s="64" t="s">
        <v>51</v>
      </c>
      <c r="C9" s="64" t="s">
        <v>29</v>
      </c>
      <c r="D9" s="64" t="s">
        <v>30</v>
      </c>
      <c r="E9" s="64" t="s">
        <v>31</v>
      </c>
      <c r="F9" s="64" t="s">
        <v>44</v>
      </c>
      <c r="G9" s="64" t="s">
        <v>33</v>
      </c>
      <c r="H9" s="64" t="s">
        <v>51</v>
      </c>
      <c r="I9" s="64" t="s">
        <v>52</v>
      </c>
      <c r="J9" s="64" t="s">
        <v>35</v>
      </c>
      <c r="K9" s="64">
        <v>0</v>
      </c>
      <c r="L9" s="64">
        <v>100</v>
      </c>
      <c r="M9" s="64">
        <v>0</v>
      </c>
      <c r="N9" s="64">
        <v>16000</v>
      </c>
      <c r="O9" s="64">
        <v>7</v>
      </c>
      <c r="P9" s="64" t="b">
        <v>1</v>
      </c>
      <c r="Q9" s="64" t="s">
        <v>53</v>
      </c>
      <c r="R9" s="64"/>
    </row>
    <row r="10" spans="1:18">
      <c r="A10" s="64">
        <v>9</v>
      </c>
      <c r="B10" s="64" t="s">
        <v>54</v>
      </c>
      <c r="C10" s="64" t="s">
        <v>29</v>
      </c>
      <c r="D10" s="64" t="s">
        <v>30</v>
      </c>
      <c r="E10" s="64" t="s">
        <v>31</v>
      </c>
      <c r="F10" s="64" t="s">
        <v>55</v>
      </c>
      <c r="G10" s="64" t="s">
        <v>33</v>
      </c>
      <c r="H10" s="64" t="s">
        <v>54</v>
      </c>
      <c r="I10" s="64" t="s">
        <v>52</v>
      </c>
      <c r="J10" s="64" t="s">
        <v>35</v>
      </c>
      <c r="K10" s="64">
        <v>0</v>
      </c>
      <c r="L10" s="64">
        <v>100</v>
      </c>
      <c r="M10" s="64">
        <v>0</v>
      </c>
      <c r="N10" s="64">
        <v>16000</v>
      </c>
      <c r="O10" s="64">
        <v>8</v>
      </c>
      <c r="P10" s="64" t="b">
        <v>1</v>
      </c>
      <c r="Q10" s="64" t="s">
        <v>56</v>
      </c>
      <c r="R10" s="64"/>
    </row>
    <row r="11" spans="1:18">
      <c r="A11" s="64">
        <v>10</v>
      </c>
      <c r="B11" s="64" t="s">
        <v>57</v>
      </c>
      <c r="C11" s="64" t="s">
        <v>29</v>
      </c>
      <c r="D11" s="64" t="s">
        <v>30</v>
      </c>
      <c r="E11" s="64" t="s">
        <v>31</v>
      </c>
      <c r="F11" s="64" t="s">
        <v>58</v>
      </c>
      <c r="G11" s="64" t="s">
        <v>59</v>
      </c>
      <c r="H11" s="64" t="s">
        <v>57</v>
      </c>
      <c r="I11" s="64" t="s">
        <v>52</v>
      </c>
      <c r="J11" s="64" t="s">
        <v>35</v>
      </c>
      <c r="K11" s="64">
        <v>0</v>
      </c>
      <c r="L11" s="64">
        <v>100</v>
      </c>
      <c r="M11" s="64">
        <v>0</v>
      </c>
      <c r="N11" s="64">
        <v>16000</v>
      </c>
      <c r="O11" s="64">
        <v>9</v>
      </c>
      <c r="P11" s="64" t="b">
        <v>1</v>
      </c>
      <c r="Q11" s="64" t="s">
        <v>60</v>
      </c>
      <c r="R11" s="64"/>
    </row>
    <row r="12" spans="1:18">
      <c r="A12" s="64">
        <v>11</v>
      </c>
      <c r="B12" s="64" t="s">
        <v>61</v>
      </c>
      <c r="C12" s="64" t="s">
        <v>29</v>
      </c>
      <c r="D12" s="64" t="s">
        <v>30</v>
      </c>
      <c r="E12" s="64" t="s">
        <v>31</v>
      </c>
      <c r="F12" s="64" t="s">
        <v>58</v>
      </c>
      <c r="G12" s="64" t="s">
        <v>59</v>
      </c>
      <c r="H12" s="64" t="s">
        <v>61</v>
      </c>
      <c r="I12" s="64" t="s">
        <v>52</v>
      </c>
      <c r="J12" s="64" t="s">
        <v>35</v>
      </c>
      <c r="K12" s="64">
        <v>0</v>
      </c>
      <c r="L12" s="64">
        <v>100</v>
      </c>
      <c r="M12" s="64">
        <v>0</v>
      </c>
      <c r="N12" s="64">
        <v>16000</v>
      </c>
      <c r="O12" s="64">
        <v>10</v>
      </c>
      <c r="P12" s="64" t="b">
        <v>1</v>
      </c>
      <c r="Q12" s="64" t="s">
        <v>62</v>
      </c>
      <c r="R12" s="64"/>
    </row>
    <row r="13" spans="1:18">
      <c r="A13" s="64">
        <v>12</v>
      </c>
      <c r="B13" s="64" t="s">
        <v>63</v>
      </c>
      <c r="C13" s="64" t="s">
        <v>29</v>
      </c>
      <c r="D13" s="64" t="s">
        <v>30</v>
      </c>
      <c r="E13" s="64" t="s">
        <v>31</v>
      </c>
      <c r="F13" s="64" t="s">
        <v>64</v>
      </c>
      <c r="G13" s="64" t="s">
        <v>33</v>
      </c>
      <c r="H13" s="64" t="s">
        <v>63</v>
      </c>
      <c r="I13" s="64" t="s">
        <v>34</v>
      </c>
      <c r="J13" s="64" t="s">
        <v>35</v>
      </c>
      <c r="K13" s="64">
        <v>0</v>
      </c>
      <c r="L13" s="64">
        <v>100</v>
      </c>
      <c r="M13" s="64">
        <v>0</v>
      </c>
      <c r="N13" s="64">
        <v>16000</v>
      </c>
      <c r="O13" s="64">
        <v>11</v>
      </c>
      <c r="P13" s="64" t="b">
        <v>1</v>
      </c>
      <c r="Q13" s="64" t="s">
        <v>65</v>
      </c>
      <c r="R13" s="64"/>
    </row>
    <row r="14" spans="1:18">
      <c r="A14" s="64">
        <v>13</v>
      </c>
      <c r="B14" s="64" t="s">
        <v>131</v>
      </c>
      <c r="C14" s="64" t="s">
        <v>29</v>
      </c>
      <c r="D14" s="64" t="s">
        <v>132</v>
      </c>
      <c r="E14" s="64"/>
      <c r="F14" s="64" t="s">
        <v>133</v>
      </c>
      <c r="G14" s="64" t="s">
        <v>134</v>
      </c>
      <c r="H14" s="64" t="s">
        <v>135</v>
      </c>
      <c r="I14" s="64" t="s">
        <v>136</v>
      </c>
      <c r="J14" s="64" t="s">
        <v>137</v>
      </c>
      <c r="K14" s="64">
        <v>0</v>
      </c>
      <c r="L14" s="64">
        <v>1</v>
      </c>
      <c r="M14" s="64">
        <v>0</v>
      </c>
      <c r="N14" s="64">
        <v>1</v>
      </c>
      <c r="O14" s="64">
        <v>250</v>
      </c>
      <c r="P14" s="64" t="b">
        <v>1</v>
      </c>
      <c r="Q14" s="64" t="s">
        <v>138</v>
      </c>
      <c r="R14" s="64"/>
    </row>
    <row r="15" spans="1:18">
      <c r="A15" s="64">
        <v>14</v>
      </c>
      <c r="B15" s="64" t="s">
        <v>139</v>
      </c>
      <c r="C15" s="64" t="s">
        <v>29</v>
      </c>
      <c r="D15" s="64" t="s">
        <v>132</v>
      </c>
      <c r="E15" s="64"/>
      <c r="F15" s="64" t="s">
        <v>140</v>
      </c>
      <c r="G15" s="64" t="s">
        <v>134</v>
      </c>
      <c r="H15" s="64" t="s">
        <v>135</v>
      </c>
      <c r="I15" s="64" t="s">
        <v>136</v>
      </c>
      <c r="J15" s="64" t="s">
        <v>137</v>
      </c>
      <c r="K15" s="64">
        <v>0</v>
      </c>
      <c r="L15" s="64">
        <v>1</v>
      </c>
      <c r="M15" s="64">
        <v>0</v>
      </c>
      <c r="N15" s="64">
        <v>1</v>
      </c>
      <c r="O15" s="64">
        <v>251</v>
      </c>
      <c r="P15" s="64" t="b">
        <v>1</v>
      </c>
      <c r="Q15" s="64" t="s">
        <v>141</v>
      </c>
      <c r="R15" s="64"/>
    </row>
    <row r="16" spans="1:18">
      <c r="A16" s="64">
        <v>15</v>
      </c>
      <c r="B16" s="64" t="s">
        <v>164</v>
      </c>
      <c r="C16" s="64" t="s">
        <v>67</v>
      </c>
      <c r="D16" s="64" t="s">
        <v>159</v>
      </c>
      <c r="E16" s="64"/>
      <c r="F16" s="64" t="s">
        <v>165</v>
      </c>
      <c r="G16" s="64" t="s">
        <v>145</v>
      </c>
      <c r="H16" s="64" t="s">
        <v>164</v>
      </c>
      <c r="I16" s="64" t="s">
        <v>52</v>
      </c>
      <c r="J16" s="64" t="s">
        <v>137</v>
      </c>
      <c r="K16" s="64">
        <v>0</v>
      </c>
      <c r="L16" s="64">
        <v>1</v>
      </c>
      <c r="M16" s="64">
        <v>0</v>
      </c>
      <c r="N16" s="64">
        <v>1</v>
      </c>
      <c r="O16" s="64">
        <v>453</v>
      </c>
      <c r="P16" s="64" t="b">
        <v>1</v>
      </c>
      <c r="Q16" s="64" t="s">
        <v>166</v>
      </c>
      <c r="R16" s="64"/>
    </row>
    <row r="17" spans="1:18">
      <c r="A17" s="64">
        <v>16</v>
      </c>
      <c r="B17" s="64" t="s">
        <v>146</v>
      </c>
      <c r="C17" s="64" t="s">
        <v>67</v>
      </c>
      <c r="D17" s="64" t="s">
        <v>159</v>
      </c>
      <c r="E17" s="64"/>
      <c r="F17" s="64" t="s">
        <v>165</v>
      </c>
      <c r="G17" s="64" t="s">
        <v>145</v>
      </c>
      <c r="H17" s="64" t="s">
        <v>146</v>
      </c>
      <c r="I17" s="64" t="s">
        <v>52</v>
      </c>
      <c r="J17" s="64" t="s">
        <v>137</v>
      </c>
      <c r="K17" s="64">
        <v>0</v>
      </c>
      <c r="L17" s="64">
        <v>1</v>
      </c>
      <c r="M17" s="64">
        <v>0</v>
      </c>
      <c r="N17" s="64">
        <v>1</v>
      </c>
      <c r="O17" s="64">
        <v>454</v>
      </c>
      <c r="P17" s="64" t="b">
        <v>1</v>
      </c>
      <c r="Q17" s="64" t="s">
        <v>167</v>
      </c>
      <c r="R17" s="64"/>
    </row>
    <row r="18" spans="1:18">
      <c r="A18" s="64">
        <v>17</v>
      </c>
      <c r="B18" s="64" t="s">
        <v>142</v>
      </c>
      <c r="C18" s="64" t="s">
        <v>67</v>
      </c>
      <c r="D18" s="64" t="s">
        <v>132</v>
      </c>
      <c r="E18" s="63" t="s">
        <v>143</v>
      </c>
      <c r="F18" s="64" t="s">
        <v>144</v>
      </c>
      <c r="G18" s="64" t="s">
        <v>145</v>
      </c>
      <c r="H18" s="64" t="s">
        <v>146</v>
      </c>
      <c r="I18" s="64" t="s">
        <v>52</v>
      </c>
      <c r="J18" s="64" t="s">
        <v>137</v>
      </c>
      <c r="K18" s="64">
        <v>0</v>
      </c>
      <c r="L18" s="64">
        <v>1</v>
      </c>
      <c r="M18" s="64">
        <v>0</v>
      </c>
      <c r="N18" s="64">
        <v>1</v>
      </c>
      <c r="O18" s="64">
        <v>253</v>
      </c>
      <c r="P18" s="64" t="b">
        <v>1</v>
      </c>
      <c r="Q18" s="64" t="s">
        <v>147</v>
      </c>
      <c r="R18" s="64"/>
    </row>
    <row r="19" spans="1:18">
      <c r="A19" s="64">
        <v>18</v>
      </c>
      <c r="B19" s="64" t="s">
        <v>148</v>
      </c>
      <c r="C19" s="64" t="s">
        <v>67</v>
      </c>
      <c r="D19" s="64" t="s">
        <v>132</v>
      </c>
      <c r="E19" s="63" t="s">
        <v>143</v>
      </c>
      <c r="F19" s="64" t="s">
        <v>144</v>
      </c>
      <c r="G19" s="64" t="s">
        <v>145</v>
      </c>
      <c r="H19" s="64" t="s">
        <v>149</v>
      </c>
      <c r="I19" s="64" t="s">
        <v>52</v>
      </c>
      <c r="J19" s="64" t="s">
        <v>137</v>
      </c>
      <c r="K19" s="64">
        <v>0</v>
      </c>
      <c r="L19" s="64">
        <v>1</v>
      </c>
      <c r="M19" s="64">
        <v>0</v>
      </c>
      <c r="N19" s="64">
        <v>1</v>
      </c>
      <c r="O19" s="64">
        <v>254</v>
      </c>
      <c r="P19" s="64" t="b">
        <v>1</v>
      </c>
      <c r="Q19" s="64" t="s">
        <v>150</v>
      </c>
      <c r="R19" s="64"/>
    </row>
    <row r="20" spans="1:18">
      <c r="A20" s="64">
        <v>19</v>
      </c>
      <c r="B20" s="64" t="s">
        <v>98</v>
      </c>
      <c r="C20" s="64" t="s">
        <v>67</v>
      </c>
      <c r="D20" s="64" t="s">
        <v>99</v>
      </c>
      <c r="E20" s="64"/>
      <c r="F20" s="64" t="s">
        <v>100</v>
      </c>
      <c r="G20" s="64" t="s">
        <v>59</v>
      </c>
      <c r="H20" s="64" t="s">
        <v>101</v>
      </c>
      <c r="I20" s="64" t="s">
        <v>52</v>
      </c>
      <c r="J20" s="64" t="s">
        <v>35</v>
      </c>
      <c r="K20" s="64">
        <v>0</v>
      </c>
      <c r="L20" s="64">
        <v>100</v>
      </c>
      <c r="M20" s="64">
        <v>0</v>
      </c>
      <c r="N20" s="64">
        <v>16000</v>
      </c>
      <c r="O20" s="64">
        <v>30</v>
      </c>
      <c r="P20" s="64" t="b">
        <v>0</v>
      </c>
      <c r="Q20" s="64" t="s">
        <v>102</v>
      </c>
      <c r="R20" s="64"/>
    </row>
    <row r="21" spans="1:18">
      <c r="A21" s="64">
        <v>20</v>
      </c>
      <c r="B21" s="64" t="s">
        <v>103</v>
      </c>
      <c r="C21" s="64" t="s">
        <v>67</v>
      </c>
      <c r="D21" s="64" t="s">
        <v>99</v>
      </c>
      <c r="E21" s="64"/>
      <c r="F21" s="64" t="s">
        <v>100</v>
      </c>
      <c r="G21" s="64" t="s">
        <v>59</v>
      </c>
      <c r="H21" s="64" t="s">
        <v>104</v>
      </c>
      <c r="I21" s="64" t="s">
        <v>52</v>
      </c>
      <c r="J21" s="64" t="s">
        <v>35</v>
      </c>
      <c r="K21" s="64">
        <v>0</v>
      </c>
      <c r="L21" s="64">
        <v>100</v>
      </c>
      <c r="M21" s="64">
        <v>0</v>
      </c>
      <c r="N21" s="64">
        <v>16000</v>
      </c>
      <c r="O21" s="64">
        <v>31</v>
      </c>
      <c r="P21" s="64" t="b">
        <v>0</v>
      </c>
      <c r="Q21" s="64" t="s">
        <v>105</v>
      </c>
      <c r="R21" s="64"/>
    </row>
    <row r="22" spans="1:18">
      <c r="A22" s="64">
        <v>21</v>
      </c>
      <c r="B22" s="64" t="s">
        <v>153</v>
      </c>
      <c r="C22" s="64" t="s">
        <v>152</v>
      </c>
      <c r="D22" s="64" t="s">
        <v>159</v>
      </c>
      <c r="E22" s="64"/>
      <c r="F22" s="64" t="s">
        <v>165</v>
      </c>
      <c r="G22" s="64" t="s">
        <v>145</v>
      </c>
      <c r="H22" s="64" t="s">
        <v>153</v>
      </c>
      <c r="I22" s="64" t="s">
        <v>136</v>
      </c>
      <c r="J22" s="64" t="s">
        <v>137</v>
      </c>
      <c r="K22" s="64">
        <v>0</v>
      </c>
      <c r="L22" s="64">
        <v>1</v>
      </c>
      <c r="M22" s="64">
        <v>0</v>
      </c>
      <c r="N22" s="64">
        <v>1</v>
      </c>
      <c r="O22" s="64">
        <v>455</v>
      </c>
      <c r="P22" s="64" t="b">
        <v>1</v>
      </c>
      <c r="Q22" s="64" t="s">
        <v>168</v>
      </c>
      <c r="R22" s="64"/>
    </row>
    <row r="23" spans="1:18">
      <c r="A23" s="64">
        <v>22</v>
      </c>
      <c r="B23" s="64" t="s">
        <v>151</v>
      </c>
      <c r="C23" s="64" t="s">
        <v>152</v>
      </c>
      <c r="D23" s="64" t="s">
        <v>132</v>
      </c>
      <c r="E23" s="64"/>
      <c r="F23" s="64" t="s">
        <v>144</v>
      </c>
      <c r="G23" s="64" t="s">
        <v>145</v>
      </c>
      <c r="H23" s="64" t="s">
        <v>153</v>
      </c>
      <c r="I23" s="64" t="s">
        <v>136</v>
      </c>
      <c r="J23" s="64" t="s">
        <v>137</v>
      </c>
      <c r="K23" s="64">
        <v>0</v>
      </c>
      <c r="L23" s="64">
        <v>1</v>
      </c>
      <c r="M23" s="64">
        <v>0</v>
      </c>
      <c r="N23" s="64">
        <v>1</v>
      </c>
      <c r="O23" s="64">
        <v>255</v>
      </c>
      <c r="P23" s="64" t="b">
        <v>1</v>
      </c>
      <c r="Q23" s="64" t="s">
        <v>154</v>
      </c>
      <c r="R23" s="64"/>
    </row>
    <row r="24" spans="1:18">
      <c r="A24" s="64">
        <v>23</v>
      </c>
      <c r="B24" s="64" t="s">
        <v>106</v>
      </c>
      <c r="C24" s="64" t="s">
        <v>67</v>
      </c>
      <c r="D24" s="64" t="s">
        <v>99</v>
      </c>
      <c r="E24" s="64"/>
      <c r="F24" s="64" t="s">
        <v>100</v>
      </c>
      <c r="G24" s="64" t="s">
        <v>107</v>
      </c>
      <c r="H24" s="64" t="s">
        <v>106</v>
      </c>
      <c r="I24" s="64" t="s">
        <v>34</v>
      </c>
      <c r="J24" s="64" t="s">
        <v>35</v>
      </c>
      <c r="K24" s="64">
        <v>0</v>
      </c>
      <c r="L24" s="64">
        <v>1</v>
      </c>
      <c r="M24" s="64">
        <v>0</v>
      </c>
      <c r="N24" s="64">
        <v>1</v>
      </c>
      <c r="O24" s="64">
        <v>32</v>
      </c>
      <c r="P24" s="64" t="b">
        <v>1</v>
      </c>
      <c r="Q24" s="64" t="s">
        <v>390</v>
      </c>
      <c r="R24" s="64" t="s">
        <v>392</v>
      </c>
    </row>
    <row r="25" spans="1:18" ht="32.25" customHeight="1">
      <c r="A25" s="64">
        <v>24</v>
      </c>
      <c r="B25" s="64" t="s">
        <v>394</v>
      </c>
      <c r="C25" s="64" t="s">
        <v>67</v>
      </c>
      <c r="D25" s="64" t="s">
        <v>99</v>
      </c>
      <c r="E25" s="64"/>
      <c r="F25" s="64" t="s">
        <v>395</v>
      </c>
      <c r="G25" s="64" t="s">
        <v>107</v>
      </c>
      <c r="H25" s="64" t="s">
        <v>106</v>
      </c>
      <c r="I25" s="64" t="s">
        <v>34</v>
      </c>
      <c r="J25" s="64" t="s">
        <v>35</v>
      </c>
      <c r="K25" s="64">
        <v>0</v>
      </c>
      <c r="L25" s="64">
        <v>1</v>
      </c>
      <c r="M25" s="64">
        <v>0</v>
      </c>
      <c r="N25" s="64">
        <v>1</v>
      </c>
      <c r="O25" s="64">
        <v>23</v>
      </c>
      <c r="P25" s="64" t="b">
        <v>1</v>
      </c>
      <c r="Q25" s="64" t="s">
        <v>391</v>
      </c>
      <c r="R25" s="64" t="s">
        <v>393</v>
      </c>
    </row>
    <row r="26" spans="1:18" ht="33">
      <c r="A26" s="64">
        <v>25</v>
      </c>
      <c r="B26" s="64" t="s">
        <v>119</v>
      </c>
      <c r="C26" s="64" t="s">
        <v>67</v>
      </c>
      <c r="D26" s="64" t="s">
        <v>99</v>
      </c>
      <c r="E26" s="64"/>
      <c r="F26" s="64" t="s">
        <v>120</v>
      </c>
      <c r="G26" s="64" t="s">
        <v>70</v>
      </c>
      <c r="H26" s="64" t="s">
        <v>71</v>
      </c>
      <c r="I26" s="64" t="s">
        <v>49</v>
      </c>
      <c r="J26" s="64" t="s">
        <v>35</v>
      </c>
      <c r="K26" s="64">
        <v>0</v>
      </c>
      <c r="L26" s="64">
        <v>100</v>
      </c>
      <c r="M26" s="64">
        <v>0</v>
      </c>
      <c r="N26" s="64">
        <v>16000</v>
      </c>
      <c r="O26" s="64">
        <v>37</v>
      </c>
      <c r="P26" s="64" t="b">
        <v>1</v>
      </c>
      <c r="Q26" s="70" t="s">
        <v>121</v>
      </c>
      <c r="R26" s="64"/>
    </row>
    <row r="27" spans="1:18">
      <c r="A27" s="64">
        <v>26</v>
      </c>
      <c r="B27" s="64" t="s">
        <v>66</v>
      </c>
      <c r="C27" s="64" t="s">
        <v>67</v>
      </c>
      <c r="D27" s="64" t="s">
        <v>30</v>
      </c>
      <c r="E27" s="64" t="s">
        <v>68</v>
      </c>
      <c r="F27" s="64" t="s">
        <v>69</v>
      </c>
      <c r="G27" s="64" t="s">
        <v>70</v>
      </c>
      <c r="H27" s="64" t="s">
        <v>71</v>
      </c>
      <c r="I27" s="64" t="s">
        <v>49</v>
      </c>
      <c r="J27" s="64" t="s">
        <v>35</v>
      </c>
      <c r="K27" s="64">
        <v>0</v>
      </c>
      <c r="L27" s="64">
        <v>100</v>
      </c>
      <c r="M27" s="64">
        <v>0</v>
      </c>
      <c r="N27" s="64">
        <v>16000</v>
      </c>
      <c r="O27" s="64">
        <v>13</v>
      </c>
      <c r="P27" s="64" t="b">
        <v>1</v>
      </c>
      <c r="Q27" s="64"/>
      <c r="R27" s="64"/>
    </row>
    <row r="28" spans="1:18">
      <c r="A28" s="64">
        <v>27</v>
      </c>
      <c r="B28" s="64" t="s">
        <v>72</v>
      </c>
      <c r="C28" s="64" t="s">
        <v>67</v>
      </c>
      <c r="D28" s="64" t="s">
        <v>30</v>
      </c>
      <c r="E28" s="64" t="s">
        <v>31</v>
      </c>
      <c r="F28" s="64" t="s">
        <v>58</v>
      </c>
      <c r="G28" s="64" t="s">
        <v>70</v>
      </c>
      <c r="H28" s="64" t="s">
        <v>71</v>
      </c>
      <c r="I28" s="64" t="s">
        <v>49</v>
      </c>
      <c r="J28" s="64" t="s">
        <v>35</v>
      </c>
      <c r="K28" s="64">
        <v>0</v>
      </c>
      <c r="L28" s="64">
        <v>100</v>
      </c>
      <c r="M28" s="64">
        <v>0</v>
      </c>
      <c r="N28" s="64">
        <v>16000</v>
      </c>
      <c r="O28" s="64">
        <v>14</v>
      </c>
      <c r="P28" s="64" t="b">
        <v>1</v>
      </c>
      <c r="Q28" s="64"/>
      <c r="R28" s="64"/>
    </row>
    <row r="29" spans="1:18">
      <c r="A29" s="64">
        <v>28</v>
      </c>
      <c r="B29" s="64" t="s">
        <v>73</v>
      </c>
      <c r="C29" s="64" t="s">
        <v>67</v>
      </c>
      <c r="D29" s="64" t="s">
        <v>30</v>
      </c>
      <c r="E29" s="64" t="s">
        <v>74</v>
      </c>
      <c r="F29" s="64" t="s">
        <v>75</v>
      </c>
      <c r="G29" s="64" t="s">
        <v>70</v>
      </c>
      <c r="H29" s="64" t="s">
        <v>71</v>
      </c>
      <c r="I29" s="64" t="s">
        <v>49</v>
      </c>
      <c r="J29" s="64" t="s">
        <v>35</v>
      </c>
      <c r="K29" s="64">
        <v>0</v>
      </c>
      <c r="L29" s="64">
        <v>100</v>
      </c>
      <c r="M29" s="64">
        <v>0</v>
      </c>
      <c r="N29" s="64">
        <v>16000</v>
      </c>
      <c r="O29" s="64">
        <v>15</v>
      </c>
      <c r="P29" s="64" t="b">
        <v>1</v>
      </c>
      <c r="Q29" s="64"/>
      <c r="R29" s="64"/>
    </row>
    <row r="30" spans="1:18">
      <c r="A30" s="64">
        <v>29</v>
      </c>
      <c r="B30" s="64" t="s">
        <v>76</v>
      </c>
      <c r="C30" s="64" t="s">
        <v>77</v>
      </c>
      <c r="D30" s="64" t="s">
        <v>30</v>
      </c>
      <c r="E30" s="64" t="s">
        <v>74</v>
      </c>
      <c r="F30" s="64" t="s">
        <v>78</v>
      </c>
      <c r="G30" s="64" t="s">
        <v>59</v>
      </c>
      <c r="H30" s="64" t="s">
        <v>57</v>
      </c>
      <c r="I30" s="64" t="s">
        <v>52</v>
      </c>
      <c r="J30" s="64" t="s">
        <v>35</v>
      </c>
      <c r="K30" s="64">
        <v>0</v>
      </c>
      <c r="L30" s="64">
        <v>100</v>
      </c>
      <c r="M30" s="64">
        <v>0</v>
      </c>
      <c r="N30" s="64">
        <v>16000</v>
      </c>
      <c r="O30" s="64">
        <v>17</v>
      </c>
      <c r="P30" s="64" t="b">
        <v>1</v>
      </c>
      <c r="Q30" s="64" t="s">
        <v>79</v>
      </c>
      <c r="R30" s="64"/>
    </row>
    <row r="31" spans="1:18">
      <c r="A31" s="64">
        <v>30</v>
      </c>
      <c r="B31" s="64" t="s">
        <v>381</v>
      </c>
      <c r="C31" s="64" t="s">
        <v>77</v>
      </c>
      <c r="D31" s="64" t="s">
        <v>30</v>
      </c>
      <c r="E31" s="64" t="s">
        <v>74</v>
      </c>
      <c r="F31" s="64" t="s">
        <v>78</v>
      </c>
      <c r="G31" s="64" t="s">
        <v>59</v>
      </c>
      <c r="H31" s="64" t="s">
        <v>61</v>
      </c>
      <c r="I31" s="64" t="s">
        <v>52</v>
      </c>
      <c r="J31" s="64" t="s">
        <v>35</v>
      </c>
      <c r="K31" s="64">
        <v>0</v>
      </c>
      <c r="L31" s="64">
        <v>100</v>
      </c>
      <c r="M31" s="64">
        <v>0</v>
      </c>
      <c r="N31" s="64">
        <v>16000</v>
      </c>
      <c r="O31" s="64">
        <v>22</v>
      </c>
      <c r="P31" s="64" t="b">
        <v>1</v>
      </c>
      <c r="Q31" s="64" t="s">
        <v>382</v>
      </c>
      <c r="R31" s="64"/>
    </row>
    <row r="32" spans="1:18">
      <c r="A32" s="64">
        <v>31</v>
      </c>
      <c r="B32" s="64" t="s">
        <v>158</v>
      </c>
      <c r="C32" s="64" t="s">
        <v>81</v>
      </c>
      <c r="D32" s="64" t="s">
        <v>159</v>
      </c>
      <c r="E32" s="64"/>
      <c r="F32" s="64" t="s">
        <v>83</v>
      </c>
      <c r="G32" s="64" t="s">
        <v>83</v>
      </c>
      <c r="H32" s="64" t="s">
        <v>81</v>
      </c>
      <c r="I32" s="64" t="s">
        <v>81</v>
      </c>
      <c r="J32" s="64" t="s">
        <v>156</v>
      </c>
      <c r="K32" s="64">
        <v>0</v>
      </c>
      <c r="L32" s="64">
        <v>1</v>
      </c>
      <c r="M32" s="64">
        <v>0</v>
      </c>
      <c r="N32" s="64">
        <v>1</v>
      </c>
      <c r="O32" s="64">
        <v>450</v>
      </c>
      <c r="P32" s="64" t="b">
        <v>1</v>
      </c>
      <c r="Q32" s="64" t="s">
        <v>160</v>
      </c>
      <c r="R32" s="64"/>
    </row>
    <row r="33" spans="1:18">
      <c r="A33" s="64">
        <v>32</v>
      </c>
      <c r="B33" s="64" t="s">
        <v>155</v>
      </c>
      <c r="C33" s="64" t="s">
        <v>81</v>
      </c>
      <c r="D33" s="64" t="s">
        <v>132</v>
      </c>
      <c r="E33" s="64"/>
      <c r="F33" s="64" t="s">
        <v>83</v>
      </c>
      <c r="G33" s="64" t="s">
        <v>83</v>
      </c>
      <c r="H33" s="64" t="s">
        <v>81</v>
      </c>
      <c r="I33" s="64" t="s">
        <v>81</v>
      </c>
      <c r="J33" s="64" t="s">
        <v>156</v>
      </c>
      <c r="K33" s="64">
        <v>0</v>
      </c>
      <c r="L33" s="64">
        <v>1</v>
      </c>
      <c r="M33" s="64">
        <v>0</v>
      </c>
      <c r="N33" s="64">
        <v>1</v>
      </c>
      <c r="O33" s="68">
        <v>256</v>
      </c>
      <c r="P33" s="64" t="b">
        <v>1</v>
      </c>
      <c r="Q33" s="64" t="s">
        <v>157</v>
      </c>
      <c r="R33" s="64"/>
    </row>
    <row r="34" spans="1:18">
      <c r="A34" s="64">
        <v>33</v>
      </c>
      <c r="B34" s="64" t="s">
        <v>161</v>
      </c>
      <c r="C34" s="64" t="s">
        <v>81</v>
      </c>
      <c r="D34" s="64" t="s">
        <v>162</v>
      </c>
      <c r="E34" s="64"/>
      <c r="F34" s="64" t="s">
        <v>83</v>
      </c>
      <c r="G34" s="64" t="s">
        <v>83</v>
      </c>
      <c r="H34" s="64" t="s">
        <v>81</v>
      </c>
      <c r="I34" s="64" t="s">
        <v>81</v>
      </c>
      <c r="J34" s="64" t="s">
        <v>156</v>
      </c>
      <c r="K34" s="64">
        <v>0</v>
      </c>
      <c r="L34" s="64">
        <v>1</v>
      </c>
      <c r="M34" s="64">
        <v>0</v>
      </c>
      <c r="N34" s="64">
        <v>1</v>
      </c>
      <c r="O34" s="64">
        <v>451</v>
      </c>
      <c r="P34" s="64" t="b">
        <v>1</v>
      </c>
      <c r="Q34" s="64" t="s">
        <v>163</v>
      </c>
      <c r="R34" s="64"/>
    </row>
    <row r="35" spans="1:18">
      <c r="A35" s="64">
        <v>34</v>
      </c>
      <c r="B35" s="64" t="s">
        <v>171</v>
      </c>
      <c r="C35" s="64" t="s">
        <v>81</v>
      </c>
      <c r="D35" s="64" t="s">
        <v>159</v>
      </c>
      <c r="E35" s="64"/>
      <c r="F35" s="64" t="s">
        <v>172</v>
      </c>
      <c r="G35" s="64" t="s">
        <v>83</v>
      </c>
      <c r="H35" s="64" t="s">
        <v>84</v>
      </c>
      <c r="I35" s="64" t="s">
        <v>81</v>
      </c>
      <c r="J35" s="64" t="s">
        <v>156</v>
      </c>
      <c r="K35" s="64">
        <v>0</v>
      </c>
      <c r="L35" s="64">
        <v>1</v>
      </c>
      <c r="M35" s="64">
        <v>0</v>
      </c>
      <c r="N35" s="64">
        <v>1</v>
      </c>
      <c r="O35" s="64">
        <v>460</v>
      </c>
      <c r="P35" s="64" t="b">
        <v>1</v>
      </c>
      <c r="Q35" s="70" t="s">
        <v>173</v>
      </c>
      <c r="R35" s="64"/>
    </row>
    <row r="36" spans="1:18">
      <c r="A36" s="64">
        <v>35</v>
      </c>
      <c r="B36" s="64" t="s">
        <v>174</v>
      </c>
      <c r="C36" s="64" t="s">
        <v>81</v>
      </c>
      <c r="D36" s="64" t="s">
        <v>159</v>
      </c>
      <c r="E36" s="64"/>
      <c r="F36" s="64" t="s">
        <v>175</v>
      </c>
      <c r="G36" s="64" t="s">
        <v>83</v>
      </c>
      <c r="H36" s="64" t="s">
        <v>88</v>
      </c>
      <c r="I36" s="64" t="s">
        <v>81</v>
      </c>
      <c r="J36" s="64" t="s">
        <v>156</v>
      </c>
      <c r="K36" s="64">
        <v>0</v>
      </c>
      <c r="L36" s="64">
        <v>1</v>
      </c>
      <c r="M36" s="64">
        <v>0</v>
      </c>
      <c r="N36" s="64">
        <v>1</v>
      </c>
      <c r="O36" s="64">
        <v>461</v>
      </c>
      <c r="P36" s="64" t="b">
        <v>1</v>
      </c>
      <c r="Q36" s="70" t="s">
        <v>176</v>
      </c>
      <c r="R36" s="64"/>
    </row>
    <row r="37" spans="1:18">
      <c r="A37" s="64">
        <v>36</v>
      </c>
      <c r="B37" s="64" t="s">
        <v>177</v>
      </c>
      <c r="C37" s="64" t="s">
        <v>81</v>
      </c>
      <c r="D37" s="64" t="s">
        <v>159</v>
      </c>
      <c r="E37" s="64"/>
      <c r="F37" s="64" t="s">
        <v>178</v>
      </c>
      <c r="G37" s="64" t="s">
        <v>83</v>
      </c>
      <c r="H37" s="64" t="s">
        <v>92</v>
      </c>
      <c r="I37" s="64" t="s">
        <v>81</v>
      </c>
      <c r="J37" s="64" t="s">
        <v>156</v>
      </c>
      <c r="K37" s="64">
        <v>0</v>
      </c>
      <c r="L37" s="64">
        <v>1</v>
      </c>
      <c r="M37" s="64">
        <v>0</v>
      </c>
      <c r="N37" s="64">
        <v>1</v>
      </c>
      <c r="O37" s="64">
        <v>462</v>
      </c>
      <c r="P37" s="64" t="b">
        <v>1</v>
      </c>
      <c r="Q37" s="70" t="s">
        <v>179</v>
      </c>
      <c r="R37" s="64"/>
    </row>
    <row r="38" spans="1:18">
      <c r="A38" s="64">
        <v>37</v>
      </c>
      <c r="B38" s="64" t="s">
        <v>80</v>
      </c>
      <c r="C38" s="64" t="s">
        <v>81</v>
      </c>
      <c r="D38" s="64" t="s">
        <v>30</v>
      </c>
      <c r="E38" s="64"/>
      <c r="F38" s="64" t="s">
        <v>82</v>
      </c>
      <c r="G38" s="64" t="s">
        <v>83</v>
      </c>
      <c r="H38" s="64" t="s">
        <v>84</v>
      </c>
      <c r="I38" s="64" t="s">
        <v>81</v>
      </c>
      <c r="J38" s="64" t="s">
        <v>35</v>
      </c>
      <c r="K38" s="64">
        <v>0</v>
      </c>
      <c r="L38" s="64">
        <v>1</v>
      </c>
      <c r="M38" s="64">
        <v>0</v>
      </c>
      <c r="N38" s="64">
        <v>1</v>
      </c>
      <c r="O38" s="64">
        <v>18</v>
      </c>
      <c r="P38" s="64" t="b">
        <v>1</v>
      </c>
      <c r="Q38" s="64" t="s">
        <v>85</v>
      </c>
      <c r="R38" s="64"/>
    </row>
    <row r="39" spans="1:18">
      <c r="A39" s="64">
        <v>38</v>
      </c>
      <c r="B39" s="64" t="s">
        <v>86</v>
      </c>
      <c r="C39" s="64" t="s">
        <v>81</v>
      </c>
      <c r="D39" s="64" t="s">
        <v>30</v>
      </c>
      <c r="E39" s="64"/>
      <c r="F39" s="64" t="s">
        <v>87</v>
      </c>
      <c r="G39" s="64" t="s">
        <v>83</v>
      </c>
      <c r="H39" s="64" t="s">
        <v>88</v>
      </c>
      <c r="I39" s="64" t="s">
        <v>81</v>
      </c>
      <c r="J39" s="64" t="s">
        <v>35</v>
      </c>
      <c r="K39" s="64">
        <v>0</v>
      </c>
      <c r="L39" s="64">
        <v>1</v>
      </c>
      <c r="M39" s="64">
        <v>0</v>
      </c>
      <c r="N39" s="64">
        <v>1</v>
      </c>
      <c r="O39" s="64">
        <v>19</v>
      </c>
      <c r="P39" s="64" t="b">
        <v>1</v>
      </c>
      <c r="Q39" s="64" t="s">
        <v>89</v>
      </c>
      <c r="R39" s="64"/>
    </row>
    <row r="40" spans="1:18">
      <c r="A40" s="64">
        <v>39</v>
      </c>
      <c r="B40" s="64" t="s">
        <v>90</v>
      </c>
      <c r="C40" s="64" t="s">
        <v>81</v>
      </c>
      <c r="D40" s="64" t="s">
        <v>30</v>
      </c>
      <c r="E40" s="64"/>
      <c r="F40" s="64" t="s">
        <v>91</v>
      </c>
      <c r="G40" s="64" t="s">
        <v>83</v>
      </c>
      <c r="H40" s="64" t="s">
        <v>92</v>
      </c>
      <c r="I40" s="64" t="s">
        <v>81</v>
      </c>
      <c r="J40" s="64" t="s">
        <v>35</v>
      </c>
      <c r="K40" s="64">
        <v>0</v>
      </c>
      <c r="L40" s="64">
        <v>1</v>
      </c>
      <c r="M40" s="64">
        <v>0</v>
      </c>
      <c r="N40" s="64">
        <v>1</v>
      </c>
      <c r="O40" s="64">
        <v>20</v>
      </c>
      <c r="P40" s="64" t="b">
        <v>1</v>
      </c>
      <c r="Q40" s="64" t="s">
        <v>93</v>
      </c>
      <c r="R40" s="64"/>
    </row>
    <row r="41" spans="1:18">
      <c r="A41" s="64">
        <v>40</v>
      </c>
      <c r="B41" s="64" t="s">
        <v>94</v>
      </c>
      <c r="C41" s="64" t="s">
        <v>81</v>
      </c>
      <c r="D41" s="64" t="s">
        <v>30</v>
      </c>
      <c r="E41" s="64"/>
      <c r="F41" s="64" t="s">
        <v>95</v>
      </c>
      <c r="G41" s="64" t="s">
        <v>83</v>
      </c>
      <c r="H41" s="64" t="s">
        <v>96</v>
      </c>
      <c r="I41" s="64" t="s">
        <v>81</v>
      </c>
      <c r="J41" s="64" t="s">
        <v>35</v>
      </c>
      <c r="K41" s="64">
        <v>0</v>
      </c>
      <c r="L41" s="64">
        <v>1</v>
      </c>
      <c r="M41" s="64">
        <v>0</v>
      </c>
      <c r="N41" s="64">
        <v>1</v>
      </c>
      <c r="O41" s="64">
        <v>21</v>
      </c>
      <c r="P41" s="64" t="b">
        <v>0</v>
      </c>
      <c r="Q41" s="64" t="s">
        <v>97</v>
      </c>
      <c r="R41" s="64"/>
    </row>
    <row r="42" spans="1:18">
      <c r="A42" s="64">
        <v>41</v>
      </c>
      <c r="B42" s="64" t="s">
        <v>108</v>
      </c>
      <c r="C42" s="64" t="s">
        <v>81</v>
      </c>
      <c r="D42" s="64" t="s">
        <v>109</v>
      </c>
      <c r="E42" s="64"/>
      <c r="F42" s="64" t="s">
        <v>110</v>
      </c>
      <c r="G42" s="64" t="s">
        <v>83</v>
      </c>
      <c r="H42" s="64" t="s">
        <v>81</v>
      </c>
      <c r="I42" s="64" t="s">
        <v>81</v>
      </c>
      <c r="J42" s="64" t="s">
        <v>35</v>
      </c>
      <c r="K42" s="64">
        <v>0</v>
      </c>
      <c r="L42" s="64">
        <v>1</v>
      </c>
      <c r="M42" s="64">
        <v>0</v>
      </c>
      <c r="N42" s="64">
        <v>1</v>
      </c>
      <c r="O42" s="64">
        <v>34</v>
      </c>
      <c r="P42" s="64" t="b">
        <v>0</v>
      </c>
      <c r="Q42" s="64" t="s">
        <v>111</v>
      </c>
      <c r="R42" s="64" t="s">
        <v>112</v>
      </c>
    </row>
    <row r="43" spans="1:18">
      <c r="A43" s="64">
        <v>42</v>
      </c>
      <c r="B43" s="64" t="s">
        <v>113</v>
      </c>
      <c r="C43" s="64" t="s">
        <v>81</v>
      </c>
      <c r="D43" s="64" t="s">
        <v>109</v>
      </c>
      <c r="E43" s="64"/>
      <c r="F43" s="64" t="s">
        <v>114</v>
      </c>
      <c r="G43" s="64" t="s">
        <v>83</v>
      </c>
      <c r="H43" s="64" t="s">
        <v>81</v>
      </c>
      <c r="I43" s="64" t="s">
        <v>81</v>
      </c>
      <c r="J43" s="64" t="s">
        <v>35</v>
      </c>
      <c r="K43" s="64">
        <v>0</v>
      </c>
      <c r="L43" s="64">
        <v>1</v>
      </c>
      <c r="M43" s="64">
        <v>0</v>
      </c>
      <c r="N43" s="64">
        <v>1</v>
      </c>
      <c r="O43" s="64">
        <v>35</v>
      </c>
      <c r="P43" s="64" t="b">
        <v>0</v>
      </c>
      <c r="Q43" s="64" t="s">
        <v>115</v>
      </c>
      <c r="R43" s="64" t="s">
        <v>112</v>
      </c>
    </row>
    <row r="44" spans="1:18">
      <c r="A44" s="64">
        <v>43</v>
      </c>
      <c r="B44" s="64" t="s">
        <v>116</v>
      </c>
      <c r="C44" s="64" t="s">
        <v>81</v>
      </c>
      <c r="D44" s="64" t="s">
        <v>109</v>
      </c>
      <c r="E44" s="64"/>
      <c r="F44" s="64" t="s">
        <v>117</v>
      </c>
      <c r="G44" s="64" t="s">
        <v>83</v>
      </c>
      <c r="H44" s="64" t="s">
        <v>81</v>
      </c>
      <c r="I44" s="64" t="s">
        <v>81</v>
      </c>
      <c r="J44" s="64" t="s">
        <v>35</v>
      </c>
      <c r="K44" s="64">
        <v>0</v>
      </c>
      <c r="L44" s="64">
        <v>1</v>
      </c>
      <c r="M44" s="64">
        <v>0</v>
      </c>
      <c r="N44" s="64">
        <v>1</v>
      </c>
      <c r="O44" s="64">
        <v>36</v>
      </c>
      <c r="P44" s="64" t="b">
        <v>0</v>
      </c>
      <c r="Q44" s="64" t="s">
        <v>118</v>
      </c>
      <c r="R44" s="64" t="s">
        <v>112</v>
      </c>
    </row>
    <row r="45" spans="1:18">
      <c r="A45" s="64">
        <v>44</v>
      </c>
      <c r="B45" s="64" t="s">
        <v>122</v>
      </c>
      <c r="C45" s="64" t="s">
        <v>81</v>
      </c>
      <c r="D45" s="64" t="s">
        <v>109</v>
      </c>
      <c r="E45" s="64"/>
      <c r="F45" s="64" t="s">
        <v>123</v>
      </c>
      <c r="G45" s="64" t="s">
        <v>83</v>
      </c>
      <c r="H45" s="64" t="s">
        <v>81</v>
      </c>
      <c r="I45" s="64" t="s">
        <v>81</v>
      </c>
      <c r="J45" s="64" t="s">
        <v>35</v>
      </c>
      <c r="K45" s="64">
        <v>0</v>
      </c>
      <c r="L45" s="64">
        <v>1</v>
      </c>
      <c r="M45" s="64">
        <v>0</v>
      </c>
      <c r="N45" s="64">
        <v>1</v>
      </c>
      <c r="O45" s="64">
        <v>40</v>
      </c>
      <c r="P45" s="64" t="b">
        <v>0</v>
      </c>
      <c r="Q45" s="64" t="s">
        <v>124</v>
      </c>
      <c r="R45" s="64" t="s">
        <v>112</v>
      </c>
    </row>
    <row r="46" spans="1:18">
      <c r="A46" s="64">
        <v>45</v>
      </c>
      <c r="B46" s="64" t="s">
        <v>125</v>
      </c>
      <c r="C46" s="64" t="s">
        <v>81</v>
      </c>
      <c r="D46" s="64" t="s">
        <v>109</v>
      </c>
      <c r="E46" s="64"/>
      <c r="F46" s="64" t="s">
        <v>126</v>
      </c>
      <c r="G46" s="64" t="s">
        <v>83</v>
      </c>
      <c r="H46" s="64" t="s">
        <v>81</v>
      </c>
      <c r="I46" s="64" t="s">
        <v>81</v>
      </c>
      <c r="J46" s="64" t="s">
        <v>35</v>
      </c>
      <c r="K46" s="64">
        <v>0</v>
      </c>
      <c r="L46" s="64">
        <v>1</v>
      </c>
      <c r="M46" s="64">
        <v>0</v>
      </c>
      <c r="N46" s="64">
        <v>1</v>
      </c>
      <c r="O46" s="64">
        <v>41</v>
      </c>
      <c r="P46" s="64" t="b">
        <v>0</v>
      </c>
      <c r="Q46" s="64" t="s">
        <v>127</v>
      </c>
      <c r="R46" s="64" t="s">
        <v>112</v>
      </c>
    </row>
    <row r="47" spans="1:18">
      <c r="A47" s="64">
        <v>46</v>
      </c>
      <c r="B47" s="64" t="s">
        <v>128</v>
      </c>
      <c r="C47" s="64" t="s">
        <v>81</v>
      </c>
      <c r="D47" s="64" t="s">
        <v>109</v>
      </c>
      <c r="E47" s="64"/>
      <c r="F47" s="64" t="s">
        <v>129</v>
      </c>
      <c r="G47" s="64" t="s">
        <v>83</v>
      </c>
      <c r="H47" s="64" t="s">
        <v>81</v>
      </c>
      <c r="I47" s="64" t="s">
        <v>81</v>
      </c>
      <c r="J47" s="64" t="s">
        <v>35</v>
      </c>
      <c r="K47" s="64">
        <v>0</v>
      </c>
      <c r="L47" s="64">
        <v>1</v>
      </c>
      <c r="M47" s="64">
        <v>0</v>
      </c>
      <c r="N47" s="64">
        <v>1</v>
      </c>
      <c r="O47" s="64">
        <v>42</v>
      </c>
      <c r="P47" s="64" t="b">
        <v>0</v>
      </c>
      <c r="Q47" s="64" t="s">
        <v>130</v>
      </c>
      <c r="R47" s="64" t="s">
        <v>112</v>
      </c>
    </row>
    <row r="48" spans="1:18">
      <c r="A48" s="64">
        <v>47</v>
      </c>
      <c r="B48" s="64" t="s">
        <v>180</v>
      </c>
      <c r="C48" s="64" t="s">
        <v>81</v>
      </c>
      <c r="D48" s="64" t="s">
        <v>162</v>
      </c>
      <c r="E48" s="64"/>
      <c r="F48" s="64" t="s">
        <v>181</v>
      </c>
      <c r="G48" s="64" t="s">
        <v>83</v>
      </c>
      <c r="H48" s="64" t="s">
        <v>81</v>
      </c>
      <c r="I48" s="64" t="s">
        <v>81</v>
      </c>
      <c r="J48" s="64" t="s">
        <v>156</v>
      </c>
      <c r="K48" s="64">
        <v>0</v>
      </c>
      <c r="L48" s="64">
        <v>1</v>
      </c>
      <c r="M48" s="64">
        <v>0</v>
      </c>
      <c r="N48" s="64">
        <v>1</v>
      </c>
      <c r="O48" s="64">
        <v>470</v>
      </c>
      <c r="P48" s="64" t="b">
        <v>0</v>
      </c>
      <c r="Q48" s="64" t="s">
        <v>182</v>
      </c>
      <c r="R48" s="64" t="s">
        <v>183</v>
      </c>
    </row>
    <row r="49" spans="1:18">
      <c r="A49" s="64">
        <v>48</v>
      </c>
      <c r="B49" s="64" t="s">
        <v>184</v>
      </c>
      <c r="C49" s="64" t="s">
        <v>81</v>
      </c>
      <c r="D49" s="64" t="s">
        <v>162</v>
      </c>
      <c r="E49" s="64"/>
      <c r="F49" s="64" t="s">
        <v>185</v>
      </c>
      <c r="G49" s="64" t="s">
        <v>83</v>
      </c>
      <c r="H49" s="64" t="s">
        <v>81</v>
      </c>
      <c r="I49" s="64" t="s">
        <v>81</v>
      </c>
      <c r="J49" s="64" t="s">
        <v>156</v>
      </c>
      <c r="K49" s="64">
        <v>0</v>
      </c>
      <c r="L49" s="64">
        <v>1</v>
      </c>
      <c r="M49" s="64">
        <v>0</v>
      </c>
      <c r="N49" s="64">
        <v>1</v>
      </c>
      <c r="O49" s="64">
        <v>471</v>
      </c>
      <c r="P49" s="64" t="b">
        <v>0</v>
      </c>
      <c r="Q49" s="64" t="s">
        <v>186</v>
      </c>
      <c r="R49" s="64" t="s">
        <v>112</v>
      </c>
    </row>
    <row r="50" spans="1:18">
      <c r="A50" s="64">
        <v>49</v>
      </c>
      <c r="B50" s="64" t="s">
        <v>169</v>
      </c>
      <c r="C50" s="64" t="s">
        <v>81</v>
      </c>
      <c r="D50" s="64" t="s">
        <v>162</v>
      </c>
      <c r="E50" s="64"/>
      <c r="F50" s="64"/>
      <c r="G50" s="64" t="s">
        <v>83</v>
      </c>
      <c r="H50" s="64" t="s">
        <v>81</v>
      </c>
      <c r="I50" s="64" t="s">
        <v>81</v>
      </c>
      <c r="J50" s="64" t="s">
        <v>156</v>
      </c>
      <c r="K50" s="64">
        <v>0</v>
      </c>
      <c r="L50" s="64">
        <v>1</v>
      </c>
      <c r="M50" s="64">
        <v>0</v>
      </c>
      <c r="N50" s="64">
        <v>1</v>
      </c>
      <c r="O50" s="64">
        <v>456</v>
      </c>
      <c r="P50" s="64" t="b">
        <v>1</v>
      </c>
      <c r="Q50" s="64" t="s">
        <v>170</v>
      </c>
      <c r="R50" s="64"/>
    </row>
  </sheetData>
  <autoFilter ref="A1:R1" xr:uid="{7C485614-A5BE-4FB7-B2E6-807540769775}">
    <sortState xmlns:xlrd2="http://schemas.microsoft.com/office/spreadsheetml/2017/richdata2" ref="A2:R50">
      <sortCondition ref="A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17</v>
      </c>
      <c r="B1" t="s">
        <v>187</v>
      </c>
    </row>
    <row r="2" spans="1:2">
      <c r="A2" t="s">
        <v>84</v>
      </c>
      <c r="B2">
        <v>1000</v>
      </c>
    </row>
    <row r="3" spans="1:2">
      <c r="A3" t="s">
        <v>88</v>
      </c>
      <c r="B3">
        <v>1000</v>
      </c>
    </row>
    <row r="4" spans="1:2">
      <c r="A4" t="s">
        <v>92</v>
      </c>
      <c r="B4">
        <v>1000</v>
      </c>
    </row>
    <row r="5" spans="1:2">
      <c r="A5" t="s">
        <v>96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17"/>
  <sheetViews>
    <sheetView workbookViewId="0">
      <selection activeCell="D24" sqref="D24"/>
    </sheetView>
  </sheetViews>
  <sheetFormatPr defaultRowHeight="16.5"/>
  <cols>
    <col min="1" max="1" width="9" style="1"/>
    <col min="2" max="2" width="35.2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188</v>
      </c>
      <c r="B1" s="1" t="s">
        <v>189</v>
      </c>
      <c r="C1" s="1" t="s">
        <v>17</v>
      </c>
      <c r="D1" s="1" t="s">
        <v>26</v>
      </c>
      <c r="E1" s="1" t="s">
        <v>190</v>
      </c>
      <c r="F1" s="1" t="s">
        <v>11</v>
      </c>
      <c r="G1" s="1" t="s">
        <v>143</v>
      </c>
      <c r="H1" s="1" t="s">
        <v>191</v>
      </c>
    </row>
    <row r="2" spans="1:8">
      <c r="A2" s="1">
        <v>1</v>
      </c>
      <c r="B2" s="1" t="s">
        <v>192</v>
      </c>
      <c r="C2" s="1" t="s">
        <v>84</v>
      </c>
      <c r="D2" s="1" t="s">
        <v>193</v>
      </c>
      <c r="E2" s="1" t="s">
        <v>165</v>
      </c>
      <c r="F2" s="11" t="s">
        <v>194</v>
      </c>
      <c r="G2" s="1">
        <v>16000</v>
      </c>
      <c r="H2" s="1">
        <v>1</v>
      </c>
    </row>
    <row r="3" spans="1:8">
      <c r="A3" s="1">
        <v>2</v>
      </c>
      <c r="B3" s="1" t="s">
        <v>195</v>
      </c>
      <c r="C3" s="1" t="s">
        <v>84</v>
      </c>
      <c r="D3" s="1" t="s">
        <v>196</v>
      </c>
      <c r="E3" s="1" t="s">
        <v>187</v>
      </c>
      <c r="F3" s="1" t="s">
        <v>197</v>
      </c>
      <c r="G3" s="1">
        <v>100</v>
      </c>
      <c r="H3" s="1">
        <v>2</v>
      </c>
    </row>
    <row r="4" spans="1:8">
      <c r="A4" s="1">
        <v>3</v>
      </c>
      <c r="B4" s="1" t="s">
        <v>198</v>
      </c>
      <c r="C4" s="1" t="s">
        <v>84</v>
      </c>
      <c r="D4" s="1" t="s">
        <v>199</v>
      </c>
      <c r="E4" s="1" t="s">
        <v>165</v>
      </c>
      <c r="F4" s="1" t="s">
        <v>200</v>
      </c>
      <c r="G4" s="1">
        <v>100</v>
      </c>
      <c r="H4" s="1">
        <v>3</v>
      </c>
    </row>
    <row r="5" spans="1:8">
      <c r="A5" s="1">
        <v>4</v>
      </c>
      <c r="B5" s="1" t="s">
        <v>201</v>
      </c>
      <c r="C5" s="1" t="s">
        <v>84</v>
      </c>
      <c r="D5" s="1" t="s">
        <v>202</v>
      </c>
      <c r="E5" s="1" t="s">
        <v>165</v>
      </c>
      <c r="F5" s="1" t="s">
        <v>116</v>
      </c>
      <c r="G5" s="1">
        <v>100</v>
      </c>
      <c r="H5" s="1">
        <v>4</v>
      </c>
    </row>
    <row r="6" spans="1:8">
      <c r="A6" s="1">
        <v>5</v>
      </c>
      <c r="B6" s="1" t="s">
        <v>203</v>
      </c>
      <c r="C6" s="1" t="s">
        <v>84</v>
      </c>
      <c r="E6" s="1" t="s">
        <v>187</v>
      </c>
      <c r="F6" s="1" t="s">
        <v>125</v>
      </c>
      <c r="G6" s="1">
        <v>100</v>
      </c>
      <c r="H6" s="1">
        <v>5</v>
      </c>
    </row>
    <row r="7" spans="1:8">
      <c r="A7" s="1">
        <v>6</v>
      </c>
      <c r="B7" s="1" t="s">
        <v>204</v>
      </c>
      <c r="C7" s="1" t="s">
        <v>84</v>
      </c>
      <c r="E7" s="1" t="s">
        <v>205</v>
      </c>
      <c r="F7" s="1" t="s">
        <v>206</v>
      </c>
      <c r="G7" s="1">
        <v>3</v>
      </c>
      <c r="H7" s="1">
        <v>6</v>
      </c>
    </row>
    <row r="8" spans="1:8">
      <c r="A8" s="1">
        <v>7</v>
      </c>
      <c r="B8" s="1" t="s">
        <v>207</v>
      </c>
      <c r="C8" s="1" t="s">
        <v>84</v>
      </c>
      <c r="E8" s="1" t="s">
        <v>187</v>
      </c>
      <c r="F8" s="1" t="s">
        <v>128</v>
      </c>
      <c r="G8" s="1">
        <v>10000</v>
      </c>
      <c r="H8" s="1">
        <v>7</v>
      </c>
    </row>
    <row r="9" spans="1:8">
      <c r="A9" s="1">
        <v>8</v>
      </c>
      <c r="B9" s="1" t="s">
        <v>208</v>
      </c>
      <c r="C9" s="1" t="s">
        <v>84</v>
      </c>
      <c r="E9" s="1" t="s">
        <v>83</v>
      </c>
      <c r="H9" s="1">
        <v>8</v>
      </c>
    </row>
    <row r="10" spans="1:8">
      <c r="A10" s="1">
        <v>9</v>
      </c>
      <c r="B10" s="1" t="s">
        <v>209</v>
      </c>
      <c r="C10" s="1" t="s">
        <v>96</v>
      </c>
      <c r="D10" s="2" t="s">
        <v>210</v>
      </c>
      <c r="E10" s="1" t="s">
        <v>83</v>
      </c>
      <c r="H10" s="1">
        <v>1</v>
      </c>
    </row>
    <row r="11" spans="1:8">
      <c r="A11" s="1">
        <v>10</v>
      </c>
      <c r="B11" s="1" t="s">
        <v>211</v>
      </c>
      <c r="C11" s="1" t="s">
        <v>96</v>
      </c>
      <c r="D11" s="1" t="s">
        <v>212</v>
      </c>
      <c r="E11" s="1" t="s">
        <v>83</v>
      </c>
      <c r="H11" s="1">
        <v>2</v>
      </c>
    </row>
    <row r="12" spans="1:8">
      <c r="A12" s="1">
        <v>11</v>
      </c>
      <c r="B12" s="1" t="s">
        <v>195</v>
      </c>
      <c r="C12" s="1" t="s">
        <v>96</v>
      </c>
      <c r="D12" s="1" t="s">
        <v>213</v>
      </c>
      <c r="E12" s="1" t="s">
        <v>187</v>
      </c>
      <c r="F12" s="1" t="s">
        <v>197</v>
      </c>
      <c r="G12" s="1">
        <v>1000</v>
      </c>
      <c r="H12" s="1">
        <v>3</v>
      </c>
    </row>
    <row r="13" spans="1:8">
      <c r="A13" s="1">
        <v>12</v>
      </c>
      <c r="B13" s="1" t="s">
        <v>214</v>
      </c>
      <c r="C13" s="1" t="s">
        <v>96</v>
      </c>
      <c r="D13" s="1" t="s">
        <v>215</v>
      </c>
      <c r="E13" s="1" t="s">
        <v>205</v>
      </c>
      <c r="F13" s="1" t="s">
        <v>206</v>
      </c>
      <c r="G13" s="1">
        <v>3</v>
      </c>
      <c r="H13" s="1">
        <v>4</v>
      </c>
    </row>
    <row r="14" spans="1:8">
      <c r="A14" s="1">
        <v>13</v>
      </c>
      <c r="B14" s="1" t="s">
        <v>216</v>
      </c>
      <c r="C14" s="1" t="s">
        <v>96</v>
      </c>
      <c r="D14" s="1" t="s">
        <v>217</v>
      </c>
      <c r="E14" s="1" t="s">
        <v>187</v>
      </c>
      <c r="F14" s="1" t="s">
        <v>125</v>
      </c>
      <c r="G14" s="1">
        <v>1000</v>
      </c>
      <c r="H14" s="1">
        <v>5</v>
      </c>
    </row>
    <row r="15" spans="1:8">
      <c r="A15" s="1">
        <v>14</v>
      </c>
      <c r="B15" s="1" t="s">
        <v>218</v>
      </c>
      <c r="C15" s="1" t="s">
        <v>96</v>
      </c>
      <c r="D15" s="1" t="s">
        <v>219</v>
      </c>
      <c r="E15" s="1" t="s">
        <v>205</v>
      </c>
      <c r="F15" s="1" t="s">
        <v>206</v>
      </c>
      <c r="G15" s="1">
        <v>0</v>
      </c>
      <c r="H15" s="1">
        <v>6</v>
      </c>
    </row>
    <row r="16" spans="1:8">
      <c r="A16" s="1">
        <v>15</v>
      </c>
      <c r="B16" s="1" t="s">
        <v>220</v>
      </c>
      <c r="C16" s="1" t="s">
        <v>96</v>
      </c>
      <c r="D16" s="1" t="s">
        <v>221</v>
      </c>
      <c r="E16" s="1" t="s">
        <v>187</v>
      </c>
      <c r="F16" s="1" t="s">
        <v>128</v>
      </c>
      <c r="H16" s="1">
        <v>7</v>
      </c>
    </row>
    <row r="17" spans="1:8">
      <c r="A17" s="1">
        <v>16</v>
      </c>
      <c r="B17" s="1" t="s">
        <v>222</v>
      </c>
      <c r="C17" s="1" t="s">
        <v>96</v>
      </c>
      <c r="E17" s="1" t="s">
        <v>83</v>
      </c>
      <c r="H17" s="1">
        <v>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223</v>
      </c>
      <c r="B2" t="s">
        <v>189</v>
      </c>
      <c r="C2" t="s">
        <v>17</v>
      </c>
      <c r="D2" t="s">
        <v>187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18"/>
  <sheetViews>
    <sheetView workbookViewId="0">
      <selection activeCell="D27" sqref="D27:E28"/>
    </sheetView>
  </sheetViews>
  <sheetFormatPr defaultRowHeight="16.5"/>
  <cols>
    <col min="1" max="1" width="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224</v>
      </c>
      <c r="B1" s="3" t="s">
        <v>14</v>
      </c>
      <c r="C1" s="3" t="s">
        <v>225</v>
      </c>
      <c r="D1" s="3" t="s">
        <v>226</v>
      </c>
      <c r="E1" s="3" t="s">
        <v>227</v>
      </c>
      <c r="F1" s="5" t="s">
        <v>228</v>
      </c>
      <c r="G1" s="3" t="s">
        <v>229</v>
      </c>
      <c r="H1" s="3" t="s">
        <v>26</v>
      </c>
      <c r="I1" s="3" t="s">
        <v>27</v>
      </c>
    </row>
    <row r="2" spans="1:9">
      <c r="A2" s="1" t="s">
        <v>230</v>
      </c>
      <c r="B2" s="1" t="s">
        <v>231</v>
      </c>
      <c r="C2" s="1" t="s">
        <v>232</v>
      </c>
      <c r="D2" s="1" t="s">
        <v>233</v>
      </c>
      <c r="E2" s="1" t="s">
        <v>234</v>
      </c>
      <c r="F2" s="6">
        <f>175241*4</f>
        <v>700964</v>
      </c>
      <c r="G2" s="7" t="s">
        <v>235</v>
      </c>
      <c r="H2" s="1" t="s">
        <v>236</v>
      </c>
      <c r="I2" s="1" t="s">
        <v>237</v>
      </c>
    </row>
    <row r="3" spans="1:9">
      <c r="A3" s="1" t="s">
        <v>238</v>
      </c>
      <c r="B3" s="1" t="s">
        <v>239</v>
      </c>
      <c r="C3" s="1"/>
      <c r="D3" s="1" t="s">
        <v>240</v>
      </c>
      <c r="E3" s="1" t="s">
        <v>241</v>
      </c>
      <c r="F3" s="6">
        <v>237420</v>
      </c>
      <c r="G3" s="8" t="s">
        <v>242</v>
      </c>
      <c r="H3" s="1" t="s">
        <v>243</v>
      </c>
      <c r="I3" s="1" t="s">
        <v>237</v>
      </c>
    </row>
    <row r="4" spans="1:9">
      <c r="A4" s="1" t="s">
        <v>244</v>
      </c>
      <c r="B4" s="1" t="s">
        <v>231</v>
      </c>
      <c r="C4" s="1" t="s">
        <v>232</v>
      </c>
      <c r="D4" s="1"/>
      <c r="E4" s="1" t="s">
        <v>245</v>
      </c>
      <c r="F4" s="6">
        <v>509000</v>
      </c>
      <c r="G4" s="8" t="s">
        <v>246</v>
      </c>
      <c r="H4" s="1" t="s">
        <v>247</v>
      </c>
      <c r="I4" s="1" t="s">
        <v>237</v>
      </c>
    </row>
    <row r="5" spans="1:9">
      <c r="A5" s="1" t="s">
        <v>248</v>
      </c>
      <c r="B5" s="1" t="s">
        <v>231</v>
      </c>
      <c r="C5" s="1" t="s">
        <v>232</v>
      </c>
      <c r="D5" s="1"/>
      <c r="E5" s="1" t="s">
        <v>245</v>
      </c>
      <c r="F5" s="6"/>
      <c r="G5" s="1"/>
      <c r="H5" s="1" t="s">
        <v>249</v>
      </c>
      <c r="I5" s="1" t="s">
        <v>250</v>
      </c>
    </row>
    <row r="6" spans="1:9" ht="33">
      <c r="A6" s="1" t="s">
        <v>251</v>
      </c>
      <c r="B6" s="1" t="s">
        <v>231</v>
      </c>
      <c r="C6" s="1" t="s">
        <v>232</v>
      </c>
      <c r="D6" s="1"/>
      <c r="E6" s="1" t="s">
        <v>252</v>
      </c>
      <c r="F6" s="6"/>
      <c r="G6" s="1"/>
      <c r="H6" s="1" t="s">
        <v>253</v>
      </c>
      <c r="I6" s="2" t="s">
        <v>254</v>
      </c>
    </row>
    <row r="7" spans="1:9">
      <c r="A7" s="1" t="s">
        <v>255</v>
      </c>
      <c r="B7" s="1" t="s">
        <v>231</v>
      </c>
      <c r="C7" s="1" t="s">
        <v>232</v>
      </c>
      <c r="D7" s="1"/>
      <c r="E7" s="1" t="s">
        <v>256</v>
      </c>
      <c r="F7" s="6"/>
      <c r="G7" s="1"/>
      <c r="H7" s="1" t="s">
        <v>257</v>
      </c>
      <c r="I7" s="1"/>
    </row>
    <row r="8" spans="1:9">
      <c r="A8" s="1" t="s">
        <v>258</v>
      </c>
      <c r="B8" s="1" t="s">
        <v>231</v>
      </c>
      <c r="C8" s="1" t="s">
        <v>232</v>
      </c>
      <c r="D8" s="1"/>
      <c r="E8" s="1" t="s">
        <v>256</v>
      </c>
      <c r="F8" s="6">
        <v>85000</v>
      </c>
      <c r="G8" s="9" t="s">
        <v>259</v>
      </c>
      <c r="H8" s="1" t="s">
        <v>260</v>
      </c>
      <c r="I8" s="1"/>
    </row>
    <row r="9" spans="1:9">
      <c r="A9" s="1" t="s">
        <v>261</v>
      </c>
      <c r="B9" s="1"/>
      <c r="C9" s="1" t="s">
        <v>262</v>
      </c>
      <c r="D9" s="1"/>
      <c r="E9" s="1" t="s">
        <v>256</v>
      </c>
      <c r="F9" s="6">
        <v>55200</v>
      </c>
      <c r="G9" s="8" t="s">
        <v>263</v>
      </c>
      <c r="H9" s="1" t="s">
        <v>264</v>
      </c>
      <c r="I9" s="1"/>
    </row>
    <row r="10" spans="1:9" ht="33">
      <c r="A10" s="1" t="s">
        <v>265</v>
      </c>
      <c r="B10" s="1"/>
      <c r="C10" s="1"/>
      <c r="D10" s="1"/>
      <c r="E10" s="1" t="s">
        <v>256</v>
      </c>
      <c r="F10" s="6"/>
      <c r="G10" s="1"/>
      <c r="H10" s="1" t="s">
        <v>266</v>
      </c>
      <c r="I10" s="2" t="s">
        <v>267</v>
      </c>
    </row>
    <row r="11" spans="1:9">
      <c r="A11" s="1" t="s">
        <v>268</v>
      </c>
      <c r="B11" s="1" t="s">
        <v>269</v>
      </c>
      <c r="C11" s="1" t="s">
        <v>270</v>
      </c>
      <c r="D11" s="1" t="s">
        <v>271</v>
      </c>
      <c r="E11" s="1" t="s">
        <v>256</v>
      </c>
      <c r="F11" s="6"/>
      <c r="G11" s="8" t="s">
        <v>272</v>
      </c>
      <c r="H11" s="1" t="s">
        <v>273</v>
      </c>
      <c r="I11" s="1" t="s">
        <v>274</v>
      </c>
    </row>
    <row r="12" spans="1:9">
      <c r="A12" s="1" t="s">
        <v>275</v>
      </c>
      <c r="B12" s="10" t="s">
        <v>276</v>
      </c>
      <c r="C12" s="1" t="s">
        <v>277</v>
      </c>
      <c r="D12" s="1" t="s">
        <v>278</v>
      </c>
      <c r="E12" s="1" t="s">
        <v>234</v>
      </c>
      <c r="F12" s="6">
        <f>6700*4</f>
        <v>26800</v>
      </c>
      <c r="G12" s="7" t="s">
        <v>279</v>
      </c>
      <c r="H12" s="1" t="s">
        <v>280</v>
      </c>
      <c r="I12" s="1" t="s">
        <v>237</v>
      </c>
    </row>
    <row r="13" spans="1:9">
      <c r="A13" s="1" t="s">
        <v>281</v>
      </c>
      <c r="B13" s="1" t="s">
        <v>282</v>
      </c>
      <c r="C13" s="1" t="s">
        <v>283</v>
      </c>
      <c r="D13" s="1" t="s">
        <v>284</v>
      </c>
      <c r="E13" s="1" t="s">
        <v>256</v>
      </c>
      <c r="F13" s="6">
        <v>2464000</v>
      </c>
      <c r="G13" s="8" t="s">
        <v>285</v>
      </c>
      <c r="H13" s="1" t="s">
        <v>286</v>
      </c>
      <c r="I13" s="1"/>
    </row>
    <row r="14" spans="1:9" ht="33">
      <c r="A14" s="1" t="s">
        <v>287</v>
      </c>
      <c r="B14" s="2" t="s">
        <v>288</v>
      </c>
      <c r="C14" s="1"/>
      <c r="D14" s="1" t="s">
        <v>289</v>
      </c>
      <c r="E14" s="1" t="s">
        <v>256</v>
      </c>
      <c r="F14" s="6">
        <v>230989</v>
      </c>
      <c r="G14" s="8" t="s">
        <v>290</v>
      </c>
      <c r="H14" s="1" t="s">
        <v>291</v>
      </c>
      <c r="I14" s="1"/>
    </row>
    <row r="16" spans="1:9">
      <c r="D16" t="s">
        <v>292</v>
      </c>
    </row>
    <row r="18" spans="1:9">
      <c r="A18" t="s">
        <v>293</v>
      </c>
      <c r="C18" t="s">
        <v>294</v>
      </c>
      <c r="D18" s="12" t="s">
        <v>295</v>
      </c>
      <c r="E18" t="s">
        <v>256</v>
      </c>
      <c r="F18" s="4">
        <v>311300</v>
      </c>
      <c r="G18" s="13" t="s">
        <v>296</v>
      </c>
      <c r="H18" t="s">
        <v>297</v>
      </c>
      <c r="I18" t="s">
        <v>298</v>
      </c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3" workbookViewId="0">
      <selection activeCell="F55" sqref="F55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299</v>
      </c>
      <c r="B1" s="42" t="s">
        <v>300</v>
      </c>
      <c r="C1" s="43" t="s">
        <v>301</v>
      </c>
      <c r="D1" s="44" t="s">
        <v>302</v>
      </c>
    </row>
    <row r="2" spans="1:4">
      <c r="A2" s="48" t="s">
        <v>303</v>
      </c>
      <c r="B2" s="14" t="s">
        <v>304</v>
      </c>
      <c r="C2" s="15">
        <v>10000000</v>
      </c>
      <c r="D2" s="49">
        <v>18960000</v>
      </c>
    </row>
    <row r="3" spans="1:4">
      <c r="A3" s="48"/>
      <c r="B3" s="16" t="s">
        <v>305</v>
      </c>
      <c r="C3" s="17">
        <v>2000000</v>
      </c>
      <c r="D3" s="50"/>
    </row>
    <row r="4" spans="1:4">
      <c r="A4" s="48"/>
      <c r="B4" s="16" t="s">
        <v>306</v>
      </c>
      <c r="C4" s="17">
        <v>1200000</v>
      </c>
      <c r="D4" s="50"/>
    </row>
    <row r="5" spans="1:4">
      <c r="A5" s="48"/>
      <c r="B5" s="16" t="s">
        <v>307</v>
      </c>
      <c r="C5" s="17">
        <v>800000</v>
      </c>
      <c r="D5" s="50"/>
    </row>
    <row r="6" spans="1:4">
      <c r="A6" s="48"/>
      <c r="B6" s="16" t="s">
        <v>308</v>
      </c>
      <c r="C6" s="17">
        <v>400000</v>
      </c>
      <c r="D6" s="50"/>
    </row>
    <row r="7" spans="1:4">
      <c r="A7" s="48"/>
      <c r="B7" s="16" t="s">
        <v>309</v>
      </c>
      <c r="C7" s="17">
        <v>1000000</v>
      </c>
      <c r="D7" s="50"/>
    </row>
    <row r="8" spans="1:4">
      <c r="A8" s="48"/>
      <c r="B8" s="16" t="s">
        <v>310</v>
      </c>
      <c r="C8" s="18" t="s">
        <v>311</v>
      </c>
      <c r="D8" s="50"/>
    </row>
    <row r="9" spans="1:4">
      <c r="A9" s="48"/>
      <c r="B9" s="16" t="s">
        <v>312</v>
      </c>
      <c r="C9" s="17">
        <v>3500000</v>
      </c>
      <c r="D9" s="50"/>
    </row>
    <row r="10" spans="1:4">
      <c r="A10" s="48"/>
      <c r="B10" s="16" t="s">
        <v>313</v>
      </c>
      <c r="C10" s="17">
        <v>60000</v>
      </c>
      <c r="D10" s="50"/>
    </row>
    <row r="11" spans="1:4">
      <c r="A11" s="51" t="s">
        <v>314</v>
      </c>
      <c r="B11" s="14" t="s">
        <v>315</v>
      </c>
      <c r="C11" s="19">
        <v>200000</v>
      </c>
      <c r="D11" s="49">
        <v>4380000</v>
      </c>
    </row>
    <row r="12" spans="1:4">
      <c r="A12" s="48"/>
      <c r="B12" s="16" t="s">
        <v>316</v>
      </c>
      <c r="C12" s="17">
        <v>200000</v>
      </c>
      <c r="D12" s="50"/>
    </row>
    <row r="13" spans="1:4">
      <c r="A13" s="48"/>
      <c r="B13" s="16" t="s">
        <v>317</v>
      </c>
      <c r="C13" s="17">
        <v>500000</v>
      </c>
      <c r="D13" s="50"/>
    </row>
    <row r="14" spans="1:4">
      <c r="A14" s="48"/>
      <c r="B14" s="16" t="s">
        <v>318</v>
      </c>
      <c r="C14" s="20">
        <v>500000</v>
      </c>
      <c r="D14" s="50"/>
    </row>
    <row r="15" spans="1:4">
      <c r="A15" s="48"/>
      <c r="B15" s="16" t="s">
        <v>319</v>
      </c>
      <c r="C15" s="20">
        <v>1000000</v>
      </c>
      <c r="D15" s="50"/>
    </row>
    <row r="16" spans="1:4">
      <c r="A16" s="48"/>
      <c r="B16" s="16" t="s">
        <v>320</v>
      </c>
      <c r="C16" s="20">
        <v>1000000</v>
      </c>
      <c r="D16" s="50"/>
    </row>
    <row r="17" spans="1:4">
      <c r="A17" s="48"/>
      <c r="B17" s="16" t="s">
        <v>321</v>
      </c>
      <c r="C17" s="20">
        <v>1850000</v>
      </c>
      <c r="D17" s="50"/>
    </row>
    <row r="18" spans="1:4">
      <c r="A18" s="48"/>
      <c r="B18" s="16" t="s">
        <v>322</v>
      </c>
      <c r="C18" s="20">
        <v>300000</v>
      </c>
      <c r="D18" s="50"/>
    </row>
    <row r="19" spans="1:4">
      <c r="A19" s="48"/>
      <c r="B19" s="16" t="s">
        <v>323</v>
      </c>
      <c r="C19" s="21" t="s">
        <v>324</v>
      </c>
      <c r="D19" s="50"/>
    </row>
    <row r="20" spans="1:4">
      <c r="A20" s="48"/>
      <c r="B20" s="16" t="s">
        <v>325</v>
      </c>
      <c r="C20" s="17">
        <v>200000</v>
      </c>
      <c r="D20" s="50"/>
    </row>
    <row r="21" spans="1:4">
      <c r="A21" s="48"/>
      <c r="B21" s="16" t="s">
        <v>326</v>
      </c>
      <c r="C21" s="17">
        <v>1200000</v>
      </c>
      <c r="D21" s="50"/>
    </row>
    <row r="22" spans="1:4">
      <c r="A22" s="48"/>
      <c r="B22" s="16" t="s">
        <v>327</v>
      </c>
      <c r="C22" s="17">
        <v>30000</v>
      </c>
      <c r="D22" s="50"/>
    </row>
    <row r="23" spans="1:4">
      <c r="A23" s="48"/>
      <c r="B23" s="16" t="s">
        <v>328</v>
      </c>
      <c r="C23" s="17">
        <v>450000</v>
      </c>
      <c r="D23" s="50"/>
    </row>
    <row r="24" spans="1:4">
      <c r="A24" s="48"/>
      <c r="B24" s="16" t="s">
        <v>329</v>
      </c>
      <c r="C24" s="17">
        <v>450000</v>
      </c>
      <c r="D24" s="50"/>
    </row>
    <row r="25" spans="1:4">
      <c r="A25" s="48"/>
      <c r="B25" s="16" t="s">
        <v>330</v>
      </c>
      <c r="C25" s="17">
        <v>50000</v>
      </c>
      <c r="D25" s="50"/>
    </row>
    <row r="26" spans="1:4">
      <c r="A26" s="48"/>
      <c r="B26" s="16" t="s">
        <v>331</v>
      </c>
      <c r="C26" s="17">
        <v>100000</v>
      </c>
      <c r="D26" s="50"/>
    </row>
    <row r="27" spans="1:4">
      <c r="A27" s="48"/>
      <c r="B27" s="16" t="s">
        <v>332</v>
      </c>
      <c r="C27" s="17">
        <v>500000</v>
      </c>
      <c r="D27" s="50"/>
    </row>
    <row r="28" spans="1:4">
      <c r="A28" s="52"/>
      <c r="B28" s="22" t="s">
        <v>333</v>
      </c>
      <c r="C28" s="23">
        <v>700000</v>
      </c>
      <c r="D28" s="53"/>
    </row>
    <row r="29" spans="1:4">
      <c r="A29" s="51" t="s">
        <v>334</v>
      </c>
      <c r="B29" s="16" t="s">
        <v>335</v>
      </c>
      <c r="C29" s="17">
        <v>1200000</v>
      </c>
      <c r="D29" s="54">
        <v>6900000</v>
      </c>
    </row>
    <row r="30" spans="1:4">
      <c r="A30" s="48"/>
      <c r="B30" s="16" t="s">
        <v>336</v>
      </c>
      <c r="C30" s="17">
        <v>550000</v>
      </c>
      <c r="D30" s="50"/>
    </row>
    <row r="31" spans="1:4">
      <c r="A31" s="48"/>
      <c r="B31" s="16" t="s">
        <v>337</v>
      </c>
      <c r="C31" s="17">
        <v>1200000</v>
      </c>
      <c r="D31" s="50"/>
    </row>
    <row r="32" spans="1:4">
      <c r="A32" s="48"/>
      <c r="B32" s="16" t="s">
        <v>338</v>
      </c>
      <c r="C32" s="17">
        <v>450000</v>
      </c>
      <c r="D32" s="50"/>
    </row>
    <row r="33" spans="1:8">
      <c r="A33" s="48"/>
      <c r="B33" s="16" t="s">
        <v>339</v>
      </c>
      <c r="C33" s="17">
        <v>3500000</v>
      </c>
      <c r="D33" s="50"/>
    </row>
    <row r="34" spans="1:8">
      <c r="A34" s="48"/>
      <c r="B34" s="16" t="s">
        <v>340</v>
      </c>
      <c r="C34" s="24">
        <v>300000</v>
      </c>
      <c r="D34" s="50"/>
    </row>
    <row r="35" spans="1:8">
      <c r="A35" s="48"/>
      <c r="B35" s="16" t="s">
        <v>327</v>
      </c>
      <c r="C35" s="24">
        <v>30000</v>
      </c>
      <c r="D35" s="50"/>
    </row>
    <row r="36" spans="1:8">
      <c r="A36" s="52"/>
      <c r="B36" s="22" t="s">
        <v>324</v>
      </c>
      <c r="C36" s="25" t="s">
        <v>324</v>
      </c>
      <c r="D36" s="53"/>
    </row>
    <row r="37" spans="1:8">
      <c r="A37" s="55" t="s">
        <v>341</v>
      </c>
      <c r="B37" s="26" t="s">
        <v>324</v>
      </c>
      <c r="C37" s="27" t="s">
        <v>324</v>
      </c>
      <c r="D37" s="58" t="s">
        <v>324</v>
      </c>
    </row>
    <row r="38" spans="1:8">
      <c r="A38" s="56"/>
      <c r="B38" s="26"/>
      <c r="C38" s="27" t="s">
        <v>324</v>
      </c>
      <c r="D38" s="58"/>
    </row>
    <row r="39" spans="1:8">
      <c r="A39" s="56"/>
      <c r="B39" s="26"/>
      <c r="C39" s="27" t="s">
        <v>324</v>
      </c>
      <c r="D39" s="58"/>
    </row>
    <row r="40" spans="1:8">
      <c r="A40" s="56"/>
      <c r="B40" s="26"/>
      <c r="C40" s="27" t="s">
        <v>324</v>
      </c>
      <c r="D40" s="58"/>
    </row>
    <row r="41" spans="1:8">
      <c r="A41" s="56"/>
      <c r="B41" s="26"/>
      <c r="C41" s="27" t="s">
        <v>324</v>
      </c>
      <c r="D41" s="58"/>
    </row>
    <row r="42" spans="1:8">
      <c r="A42" s="57"/>
      <c r="B42" s="28" t="s">
        <v>324</v>
      </c>
      <c r="C42" s="29" t="s">
        <v>324</v>
      </c>
      <c r="D42" s="59"/>
    </row>
    <row r="43" spans="1:8">
      <c r="A43" s="51" t="s">
        <v>342</v>
      </c>
      <c r="B43" s="16" t="s">
        <v>343</v>
      </c>
      <c r="C43" s="18" t="s">
        <v>324</v>
      </c>
      <c r="D43" s="54">
        <v>7630000</v>
      </c>
    </row>
    <row r="44" spans="1:8">
      <c r="A44" s="48"/>
      <c r="B44" s="26" t="s">
        <v>344</v>
      </c>
      <c r="C44" s="17">
        <v>1600000</v>
      </c>
      <c r="D44" s="50"/>
    </row>
    <row r="45" spans="1:8">
      <c r="A45" s="48"/>
      <c r="B45" s="26" t="s">
        <v>345</v>
      </c>
      <c r="C45" s="30">
        <v>5000000</v>
      </c>
      <c r="D45" s="50"/>
    </row>
    <row r="46" spans="1:8">
      <c r="A46" s="48"/>
      <c r="B46" s="16" t="s">
        <v>346</v>
      </c>
      <c r="C46" s="17">
        <v>1000000</v>
      </c>
      <c r="D46" s="50"/>
      <c r="F46" t="s">
        <v>346</v>
      </c>
      <c r="H46" s="45" t="s">
        <v>347</v>
      </c>
    </row>
    <row r="47" spans="1:8">
      <c r="A47" s="52"/>
      <c r="B47" s="22" t="s">
        <v>327</v>
      </c>
      <c r="C47" s="23">
        <v>30000</v>
      </c>
      <c r="D47" s="53"/>
      <c r="H47" s="45" t="s">
        <v>348</v>
      </c>
    </row>
    <row r="48" spans="1:8">
      <c r="A48" s="31" t="s">
        <v>349</v>
      </c>
      <c r="B48" s="22" t="s">
        <v>293</v>
      </c>
      <c r="C48" s="23">
        <v>1000000</v>
      </c>
      <c r="D48" s="32">
        <v>1000000</v>
      </c>
      <c r="H48" s="45" t="s">
        <v>350</v>
      </c>
    </row>
    <row r="49" spans="1:4">
      <c r="A49" s="31" t="s">
        <v>351</v>
      </c>
      <c r="B49" s="22" t="s">
        <v>324</v>
      </c>
      <c r="C49" s="33" t="s">
        <v>324</v>
      </c>
      <c r="D49" s="34" t="s">
        <v>311</v>
      </c>
    </row>
    <row r="50" spans="1:4">
      <c r="A50" s="31" t="s">
        <v>352</v>
      </c>
      <c r="B50" s="22" t="s">
        <v>324</v>
      </c>
      <c r="C50" s="25" t="s">
        <v>324</v>
      </c>
      <c r="D50" s="34" t="s">
        <v>324</v>
      </c>
    </row>
    <row r="51" spans="1:4">
      <c r="A51" s="31" t="s">
        <v>353</v>
      </c>
      <c r="B51" s="22" t="s">
        <v>324</v>
      </c>
      <c r="C51" s="25" t="s">
        <v>324</v>
      </c>
      <c r="D51" s="34" t="s">
        <v>324</v>
      </c>
    </row>
    <row r="52" spans="1:4">
      <c r="A52" s="31" t="s">
        <v>354</v>
      </c>
      <c r="B52" s="22" t="s">
        <v>324</v>
      </c>
      <c r="C52" s="35" t="s">
        <v>324</v>
      </c>
      <c r="D52" s="34" t="s">
        <v>324</v>
      </c>
    </row>
    <row r="53" spans="1:4">
      <c r="A53" s="46" t="s">
        <v>324</v>
      </c>
      <c r="B53" s="60"/>
      <c r="C53" s="60"/>
      <c r="D53" s="61"/>
    </row>
    <row r="54" spans="1:4">
      <c r="A54" s="46" t="s">
        <v>324</v>
      </c>
      <c r="B54" s="36" t="s">
        <v>355</v>
      </c>
      <c r="C54" s="14" t="s">
        <v>356</v>
      </c>
      <c r="D54" s="37">
        <v>38870000</v>
      </c>
    </row>
    <row r="55" spans="1:4">
      <c r="A55" s="47"/>
      <c r="B55" s="38" t="s">
        <v>357</v>
      </c>
      <c r="C55" s="39" t="s">
        <v>356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CA5C0A-123A-482D-9740-A5FEEB670C26}">
  <ds:schemaRefs>
    <ds:schemaRef ds:uri="http://purl.org/dc/elements/1.1/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68c09c20-cf94-447c-8c86-a27e8b97535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2026-06-02T05:52:01Z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