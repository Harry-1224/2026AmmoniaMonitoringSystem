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8_{C1FBBE6C-38E2-4FA4-901B-4822D246DBA6}" xr6:coauthVersionLast="47" xr6:coauthVersionMax="47" xr10:uidLastSave="{00000000-0000-0000-0000-000000000000}"/>
  <bookViews>
    <workbookView xWindow="0" yWindow="0" windowWidth="28800" windowHeight="15435" firstSheet="1" activeTab="1" xr2:uid="{00000000-000D-0000-FFFF-FFFF00000000}"/>
  </bookViews>
  <sheets>
    <sheet name="암모니아 실험 개요" sheetId="1" r:id="rId1"/>
    <sheet name="IO_List" sheetId="2" r:id="rId2"/>
    <sheet name="ExperimentDefineTable" sheetId="4" r:id="rId3"/>
    <sheet name="ExperimentInfo" sheetId="5" r:id="rId4"/>
    <sheet name="실험 저장 양식" sheetId="6" r:id="rId5"/>
    <sheet name="배관 자재 리스트" sheetId="3" r:id="rId6"/>
    <sheet name="예상 소요" sheetId="7" r:id="rId7"/>
  </sheets>
  <definedNames>
    <definedName name="_xlnm._FilterDatabase" localSheetId="1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" i="3"/>
</calcChain>
</file>

<file path=xl/sharedStrings.xml><?xml version="1.0" encoding="utf-8"?>
<sst xmlns="http://schemas.openxmlformats.org/spreadsheetml/2006/main" count="754" uniqueCount="360">
  <si>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</si>
  <si>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</si>
  <si>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</si>
  <si>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</si>
  <si>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</si>
  <si>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</si>
  <si>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</si>
  <si>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</si>
  <si>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</si>
  <si>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</si>
  <si>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</si>
  <si>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</si>
  <si>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</si>
  <si>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</si>
  <si>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</si>
  <si>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</si>
  <si>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</si>
  <si>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</si>
  <si>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</si>
  <si>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</si>
  <si>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</si>
  <si>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</si>
  <si>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</si>
  <si>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</si>
  <si>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</si>
  <si>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</si>
  <si>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</si>
  <si>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Note</t>
  </si>
  <si>
    <t>AT101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</si>
  <si>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</si>
  <si>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</si>
  <si>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</si>
  <si>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</si>
  <si>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</si>
  <si>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</si>
  <si>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</si>
  <si>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전단 암모니아 센서</t>
  </si>
  <si>
    <t>AT102</t>
  </si>
  <si>
    <t>챔버 중하단 암모니아 센서</t>
  </si>
  <si>
    <t>AT103</t>
  </si>
  <si>
    <t>챔버 중산단 암모니아 센서</t>
  </si>
  <si>
    <t>AT104</t>
  </si>
  <si>
    <t>챔버 후단 암모니아 센서</t>
  </si>
  <si>
    <t>TT101</t>
  </si>
  <si>
    <t>Temperature</t>
  </si>
  <si>
    <t>외기 온도</t>
  </si>
  <si>
    <t>TT102</t>
  </si>
  <si>
    <t>배출 공기 온도</t>
  </si>
  <si>
    <t>TT202</t>
  </si>
  <si>
    <t>Ammonia Supply</t>
  </si>
  <si>
    <t>암모니아 공급 온도</t>
  </si>
  <si>
    <t>TT301</t>
  </si>
  <si>
    <t>Water Supply</t>
  </si>
  <si>
    <t>Water Supply 온도</t>
  </si>
  <si>
    <t>PT302</t>
  </si>
  <si>
    <t>Pressure</t>
  </si>
  <si>
    <t>Water Supply 압력</t>
  </si>
  <si>
    <t>FT303</t>
  </si>
  <si>
    <t>Flow</t>
  </si>
  <si>
    <t>Analog_B</t>
  </si>
  <si>
    <t>Water Supply 유량 1</t>
  </si>
  <si>
    <t>FT304</t>
  </si>
  <si>
    <t>Water Supply 유량 2</t>
  </si>
  <si>
    <t>VF101</t>
  </si>
  <si>
    <t>Velocity</t>
  </si>
  <si>
    <t>챔버 내부 풍속계</t>
  </si>
  <si>
    <t>FC201_Pos</t>
  </si>
  <si>
    <t>Control</t>
    <phoneticPr fontId="1" type="noConversion"/>
  </si>
  <si>
    <t>Setting</t>
    <phoneticPr fontId="1" type="noConversion"/>
  </si>
  <si>
    <t>Opening Opsition</t>
  </si>
  <si>
    <t>Analog_MFC</t>
  </si>
  <si>
    <t>FC201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</si>
  <si>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</si>
  <si>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</si>
  <si>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</si>
  <si>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</si>
  <si>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</si>
  <si>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</si>
  <si>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</si>
  <si>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</si>
  <si>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</si>
  <si>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</si>
  <si>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</si>
  <si>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</si>
  <si>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</si>
  <si>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</si>
  <si>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</si>
  <si>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</si>
  <si>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</si>
  <si>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</si>
  <si>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</si>
  <si>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</si>
  <si>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</si>
  <si>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</si>
  <si>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</si>
  <si>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</si>
  <si>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</si>
  <si>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</si>
  <si>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</si>
  <si>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</si>
  <si>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</si>
  <si>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</si>
  <si>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</si>
  <si>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</si>
  <si>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</si>
  <si>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</si>
  <si>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FAN101</t>
  </si>
  <si>
    <t>Analog_Inverter</t>
  </si>
  <si>
    <t>FAN</t>
  </si>
  <si>
    <t>챔버 공기 순환 FAN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</si>
  <si>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</si>
  <si>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</si>
  <si>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</si>
  <si>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</si>
  <si>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</si>
  <si>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</si>
  <si>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</si>
  <si>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</si>
  <si>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</si>
  <si>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</si>
  <si>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</si>
  <si>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</si>
  <si>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</si>
  <si>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</si>
  <si>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</si>
  <si>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</si>
  <si>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</si>
  <si>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</si>
  <si>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</si>
  <si>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</si>
  <si>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</si>
  <si>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</si>
  <si>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</si>
  <si>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</si>
  <si>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</si>
  <si>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</si>
  <si>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</si>
  <si>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LS401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</si>
  <si>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</si>
  <si>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</si>
  <si>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</si>
  <si>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</si>
  <si>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</si>
  <si>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</si>
  <si>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SV301_Status</t>
  </si>
  <si>
    <t>Value</t>
  </si>
  <si>
    <t>Status</t>
  </si>
  <si>
    <t>Digital_A</t>
  </si>
  <si>
    <t>SV302</t>
  </si>
  <si>
    <t>SV101 밸브 상태</t>
    <phoneticPr fontId="1" type="noConversion"/>
  </si>
  <si>
    <t>SV302_Status</t>
  </si>
  <si>
    <t>SV303</t>
  </si>
  <si>
    <t>SV102 밸브 상태</t>
    <phoneticPr fontId="1" type="noConversion"/>
  </si>
  <si>
    <t>PP401_Status</t>
  </si>
  <si>
    <t>Control</t>
  </si>
  <si>
    <t>PP401</t>
  </si>
  <si>
    <t>Dreain Pump 상태</t>
  </si>
  <si>
    <t>Ex_Stop</t>
  </si>
  <si>
    <t>Bool</t>
    <phoneticPr fontId="1" type="noConversion"/>
  </si>
  <si>
    <t>현재 실험 종료</t>
  </si>
  <si>
    <t>Ex_Start</t>
  </si>
  <si>
    <t>DO</t>
  </si>
  <si>
    <t>실험 시작 Triger</t>
  </si>
  <si>
    <t>Ex_Reset</t>
    <phoneticPr fontId="1" type="noConversion"/>
  </si>
  <si>
    <t>DO</t>
    <phoneticPr fontId="1" type="noConversion"/>
  </si>
  <si>
    <t>실험 재정비 절차 시작</t>
  </si>
  <si>
    <t>SV301</t>
  </si>
  <si>
    <t>Set</t>
  </si>
  <si>
    <t>SV101 밸브</t>
    <phoneticPr fontId="1" type="noConversion"/>
  </si>
  <si>
    <t>SV102 밸브</t>
    <phoneticPr fontId="1" type="noConversion"/>
  </si>
  <si>
    <t>직입기동 Treated Water Drain Pump</t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</si>
  <si>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</si>
  <si>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</si>
  <si>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</si>
  <si>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</si>
  <si>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</si>
  <si>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</si>
  <si>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</si>
  <si>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</si>
  <si>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</si>
  <si>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</si>
  <si>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</si>
  <si>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</si>
  <si>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</si>
  <si>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</si>
  <si>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</si>
  <si>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</si>
  <si>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</si>
  <si>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</si>
  <si>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</si>
  <si>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</si>
  <si>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</si>
  <si>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</si>
  <si>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</si>
  <si>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</si>
  <si>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</si>
  <si>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</si>
  <si>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</si>
  <si>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</si>
  <si>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</si>
  <si>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</si>
  <si>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</si>
  <si>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</si>
  <si>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</si>
  <si>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</si>
  <si>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</si>
  <si>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</si>
  <si>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</si>
  <si>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</si>
  <si>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</si>
  <si>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</si>
  <si>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</si>
  <si>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</si>
  <si>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</si>
  <si>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</si>
  <si>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</si>
  <si>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</si>
  <si>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</si>
  <si>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</si>
  <si>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</si>
  <si>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</si>
  <si>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</si>
  <si>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</si>
  <si>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</si>
  <si>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</si>
  <si>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No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</si>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</sst>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1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3" fontId="10" fillId="0" borderId="13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3" fontId="11" fillId="3" borderId="28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3" fillId="0" borderId="0" xfId="2"/>
    <xf numFmtId="0" fontId="4" fillId="0" borderId="3" xfId="0" applyFont="1" applyBorder="1"/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3">
    <cellStyle name="Hyperlink" xfId="2" xr:uid="{00000000-000B-0000-0000-000008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J30" sqref="J30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56" sqref="G56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</row>
    <row r="2" spans="1:18">
      <c r="A2" s="15">
        <v>1</v>
      </c>
      <c r="B2" s="15" t="s">
        <v>28</v>
      </c>
      <c r="C2" s="15" t="s">
        <v>29</v>
      </c>
      <c r="D2" s="15" t="s">
        <v>30</v>
      </c>
      <c r="E2" s="15" t="s">
        <v>31</v>
      </c>
      <c r="F2" s="15" t="s">
        <v>32</v>
      </c>
      <c r="G2" s="15" t="s">
        <v>33</v>
      </c>
      <c r="H2" s="15" t="s">
        <v>28</v>
      </c>
      <c r="I2" s="15" t="s">
        <v>34</v>
      </c>
      <c r="J2" s="15" t="s">
        <v>35</v>
      </c>
      <c r="K2" s="15">
        <v>0</v>
      </c>
      <c r="L2" s="15">
        <v>100</v>
      </c>
      <c r="M2" s="15">
        <v>0</v>
      </c>
      <c r="N2" s="15">
        <v>16000</v>
      </c>
      <c r="O2" s="15">
        <v>0</v>
      </c>
      <c r="P2" s="15" t="b">
        <v>1</v>
      </c>
      <c r="Q2" s="15" t="s">
        <v>36</v>
      </c>
      <c r="R2" s="15"/>
    </row>
    <row r="3" spans="1:18">
      <c r="A3" s="15">
        <v>2</v>
      </c>
      <c r="B3" s="15" t="s">
        <v>37</v>
      </c>
      <c r="C3" s="15" t="s">
        <v>29</v>
      </c>
      <c r="D3" s="15" t="s">
        <v>30</v>
      </c>
      <c r="E3" s="15" t="s">
        <v>31</v>
      </c>
      <c r="F3" s="15" t="s">
        <v>32</v>
      </c>
      <c r="G3" s="15" t="s">
        <v>33</v>
      </c>
      <c r="H3" s="15" t="s">
        <v>37</v>
      </c>
      <c r="I3" s="15" t="s">
        <v>34</v>
      </c>
      <c r="J3" s="15" t="s">
        <v>35</v>
      </c>
      <c r="K3" s="15">
        <v>0</v>
      </c>
      <c r="L3" s="15">
        <v>100</v>
      </c>
      <c r="M3" s="15">
        <v>0</v>
      </c>
      <c r="N3" s="15">
        <v>16000</v>
      </c>
      <c r="O3" s="15">
        <v>1</v>
      </c>
      <c r="P3" s="15" t="b">
        <v>1</v>
      </c>
      <c r="Q3" s="15" t="s">
        <v>38</v>
      </c>
      <c r="R3" s="15"/>
    </row>
    <row r="4" spans="1:18">
      <c r="A4" s="15">
        <v>3</v>
      </c>
      <c r="B4" s="15" t="s">
        <v>39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39</v>
      </c>
      <c r="I4" s="15" t="s">
        <v>34</v>
      </c>
      <c r="J4" s="15" t="s">
        <v>35</v>
      </c>
      <c r="K4" s="15">
        <v>0</v>
      </c>
      <c r="L4" s="15">
        <v>100</v>
      </c>
      <c r="M4" s="15">
        <v>0</v>
      </c>
      <c r="N4" s="15">
        <v>16000</v>
      </c>
      <c r="O4" s="15">
        <v>2</v>
      </c>
      <c r="P4" s="15" t="b">
        <v>1</v>
      </c>
      <c r="Q4" s="15" t="s">
        <v>40</v>
      </c>
      <c r="R4" s="15"/>
    </row>
    <row r="5" spans="1:18">
      <c r="A5" s="15">
        <v>4</v>
      </c>
      <c r="B5" s="15" t="s">
        <v>41</v>
      </c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41</v>
      </c>
      <c r="I5" s="15" t="s">
        <v>34</v>
      </c>
      <c r="J5" s="15" t="s">
        <v>35</v>
      </c>
      <c r="K5" s="15">
        <v>0</v>
      </c>
      <c r="L5" s="15">
        <v>100</v>
      </c>
      <c r="M5" s="15">
        <v>0</v>
      </c>
      <c r="N5" s="15">
        <v>16000</v>
      </c>
      <c r="O5" s="15">
        <v>3</v>
      </c>
      <c r="P5" s="15" t="b">
        <v>1</v>
      </c>
      <c r="Q5" s="15" t="s">
        <v>42</v>
      </c>
      <c r="R5" s="15"/>
    </row>
    <row r="6" spans="1:18">
      <c r="A6" s="15">
        <v>5</v>
      </c>
      <c r="B6" s="15" t="s">
        <v>43</v>
      </c>
      <c r="C6" s="15" t="s">
        <v>29</v>
      </c>
      <c r="D6" s="15" t="s">
        <v>30</v>
      </c>
      <c r="E6" s="15" t="s">
        <v>31</v>
      </c>
      <c r="F6" s="15" t="s">
        <v>44</v>
      </c>
      <c r="G6" s="15" t="s">
        <v>33</v>
      </c>
      <c r="H6" s="15" t="s">
        <v>43</v>
      </c>
      <c r="I6" s="15" t="s">
        <v>34</v>
      </c>
      <c r="J6" s="15" t="s">
        <v>35</v>
      </c>
      <c r="K6" s="15">
        <v>0</v>
      </c>
      <c r="L6" s="15">
        <v>100</v>
      </c>
      <c r="M6" s="15">
        <v>0</v>
      </c>
      <c r="N6" s="15">
        <v>16000</v>
      </c>
      <c r="O6" s="15">
        <v>4</v>
      </c>
      <c r="P6" s="15" t="b">
        <v>1</v>
      </c>
      <c r="Q6" s="15" t="s">
        <v>45</v>
      </c>
      <c r="R6" s="15"/>
    </row>
    <row r="7" spans="1:18">
      <c r="A7" s="15">
        <v>6</v>
      </c>
      <c r="B7" s="15" t="s">
        <v>46</v>
      </c>
      <c r="C7" s="15" t="s">
        <v>29</v>
      </c>
      <c r="D7" s="15" t="s">
        <v>30</v>
      </c>
      <c r="E7" s="15" t="s">
        <v>31</v>
      </c>
      <c r="F7" s="15" t="s">
        <v>44</v>
      </c>
      <c r="G7" s="15" t="s">
        <v>33</v>
      </c>
      <c r="H7" s="15" t="s">
        <v>46</v>
      </c>
      <c r="I7" s="15" t="s">
        <v>34</v>
      </c>
      <c r="J7" s="15" t="s">
        <v>35</v>
      </c>
      <c r="K7" s="15">
        <v>0</v>
      </c>
      <c r="L7" s="15">
        <v>100</v>
      </c>
      <c r="M7" s="15">
        <v>0</v>
      </c>
      <c r="N7" s="15">
        <v>16000</v>
      </c>
      <c r="O7" s="15">
        <v>5</v>
      </c>
      <c r="P7" s="15" t="b">
        <v>1</v>
      </c>
      <c r="Q7" s="15" t="s">
        <v>47</v>
      </c>
      <c r="R7" s="15"/>
    </row>
    <row r="8" spans="1:18">
      <c r="A8" s="15">
        <v>7</v>
      </c>
      <c r="B8" s="15" t="s">
        <v>48</v>
      </c>
      <c r="C8" s="15" t="s">
        <v>29</v>
      </c>
      <c r="D8" s="15" t="s">
        <v>30</v>
      </c>
      <c r="E8" s="15" t="s">
        <v>31</v>
      </c>
      <c r="F8" s="15" t="s">
        <v>44</v>
      </c>
      <c r="G8" s="15" t="s">
        <v>33</v>
      </c>
      <c r="H8" s="15" t="s">
        <v>48</v>
      </c>
      <c r="I8" s="15" t="s">
        <v>49</v>
      </c>
      <c r="J8" s="15" t="s">
        <v>35</v>
      </c>
      <c r="K8" s="15">
        <v>0</v>
      </c>
      <c r="L8" s="15">
        <v>100</v>
      </c>
      <c r="M8" s="15">
        <v>0</v>
      </c>
      <c r="N8" s="15">
        <v>16000</v>
      </c>
      <c r="O8" s="15">
        <v>6</v>
      </c>
      <c r="P8" s="15" t="b">
        <v>1</v>
      </c>
      <c r="Q8" s="15" t="s">
        <v>50</v>
      </c>
      <c r="R8" s="15"/>
    </row>
    <row r="9" spans="1:18">
      <c r="A9" s="15">
        <v>8</v>
      </c>
      <c r="B9" s="15" t="s">
        <v>51</v>
      </c>
      <c r="C9" s="15" t="s">
        <v>29</v>
      </c>
      <c r="D9" s="15" t="s">
        <v>30</v>
      </c>
      <c r="E9" s="15" t="s">
        <v>31</v>
      </c>
      <c r="F9" s="15" t="s">
        <v>44</v>
      </c>
      <c r="G9" s="15" t="s">
        <v>33</v>
      </c>
      <c r="H9" s="15" t="s">
        <v>51</v>
      </c>
      <c r="I9" s="15" t="s">
        <v>52</v>
      </c>
      <c r="J9" s="15" t="s">
        <v>35</v>
      </c>
      <c r="K9" s="15">
        <v>0</v>
      </c>
      <c r="L9" s="15">
        <v>100</v>
      </c>
      <c r="M9" s="15">
        <v>0</v>
      </c>
      <c r="N9" s="15">
        <v>16000</v>
      </c>
      <c r="O9" s="15">
        <v>7</v>
      </c>
      <c r="P9" s="15" t="b">
        <v>1</v>
      </c>
      <c r="Q9" s="15" t="s">
        <v>53</v>
      </c>
      <c r="R9" s="15"/>
    </row>
    <row r="10" spans="1:18">
      <c r="A10" s="15">
        <v>9</v>
      </c>
      <c r="B10" s="15" t="s">
        <v>54</v>
      </c>
      <c r="C10" s="15" t="s">
        <v>29</v>
      </c>
      <c r="D10" s="15" t="s">
        <v>30</v>
      </c>
      <c r="E10" s="15" t="s">
        <v>31</v>
      </c>
      <c r="F10" s="15" t="s">
        <v>55</v>
      </c>
      <c r="G10" s="15" t="s">
        <v>33</v>
      </c>
      <c r="H10" s="15" t="s">
        <v>54</v>
      </c>
      <c r="I10" s="15" t="s">
        <v>52</v>
      </c>
      <c r="J10" s="15" t="s">
        <v>35</v>
      </c>
      <c r="K10" s="15">
        <v>0</v>
      </c>
      <c r="L10" s="15">
        <v>100</v>
      </c>
      <c r="M10" s="15">
        <v>0</v>
      </c>
      <c r="N10" s="15">
        <v>16000</v>
      </c>
      <c r="O10" s="15">
        <v>8</v>
      </c>
      <c r="P10" s="15" t="b">
        <v>1</v>
      </c>
      <c r="Q10" s="15" t="s">
        <v>56</v>
      </c>
      <c r="R10" s="15"/>
    </row>
    <row r="11" spans="1:18">
      <c r="A11" s="15">
        <v>10</v>
      </c>
      <c r="B11" s="15" t="s">
        <v>57</v>
      </c>
      <c r="C11" s="15" t="s">
        <v>29</v>
      </c>
      <c r="D11" s="15" t="s">
        <v>30</v>
      </c>
      <c r="E11" s="15" t="s">
        <v>31</v>
      </c>
      <c r="F11" s="15" t="s">
        <v>58</v>
      </c>
      <c r="G11" s="15" t="s">
        <v>59</v>
      </c>
      <c r="H11" s="15" t="s">
        <v>57</v>
      </c>
      <c r="I11" s="15" t="s">
        <v>52</v>
      </c>
      <c r="J11" s="15" t="s">
        <v>35</v>
      </c>
      <c r="K11" s="15">
        <v>0</v>
      </c>
      <c r="L11" s="15">
        <v>100</v>
      </c>
      <c r="M11" s="15">
        <v>0</v>
      </c>
      <c r="N11" s="15">
        <v>16000</v>
      </c>
      <c r="O11" s="15">
        <v>9</v>
      </c>
      <c r="P11" s="15" t="b">
        <v>1</v>
      </c>
      <c r="Q11" s="15" t="s">
        <v>60</v>
      </c>
      <c r="R11" s="15"/>
    </row>
    <row r="12" spans="1:18">
      <c r="A12" s="15">
        <v>11</v>
      </c>
      <c r="B12" s="15" t="s">
        <v>61</v>
      </c>
      <c r="C12" s="15" t="s">
        <v>29</v>
      </c>
      <c r="D12" s="15" t="s">
        <v>30</v>
      </c>
      <c r="E12" s="15" t="s">
        <v>31</v>
      </c>
      <c r="F12" s="15" t="s">
        <v>58</v>
      </c>
      <c r="G12" s="15" t="s">
        <v>59</v>
      </c>
      <c r="H12" s="15" t="s">
        <v>61</v>
      </c>
      <c r="I12" s="15" t="s">
        <v>52</v>
      </c>
      <c r="J12" s="15" t="s">
        <v>35</v>
      </c>
      <c r="K12" s="15">
        <v>0</v>
      </c>
      <c r="L12" s="15">
        <v>100</v>
      </c>
      <c r="M12" s="15">
        <v>0</v>
      </c>
      <c r="N12" s="15">
        <v>16000</v>
      </c>
      <c r="O12" s="15">
        <v>10</v>
      </c>
      <c r="P12" s="15" t="b">
        <v>1</v>
      </c>
      <c r="Q12" s="15" t="s">
        <v>62</v>
      </c>
      <c r="R12" s="15"/>
    </row>
    <row r="13" spans="1:18">
      <c r="A13" s="15">
        <v>12</v>
      </c>
      <c r="B13" s="15" t="s">
        <v>63</v>
      </c>
      <c r="C13" s="15" t="s">
        <v>29</v>
      </c>
      <c r="D13" s="15" t="s">
        <v>30</v>
      </c>
      <c r="E13" s="15" t="s">
        <v>31</v>
      </c>
      <c r="F13" s="15" t="s">
        <v>64</v>
      </c>
      <c r="G13" s="15" t="s">
        <v>33</v>
      </c>
      <c r="H13" s="15" t="s">
        <v>63</v>
      </c>
      <c r="I13" s="15" t="s">
        <v>34</v>
      </c>
      <c r="J13" s="15" t="s">
        <v>35</v>
      </c>
      <c r="K13" s="15">
        <v>0</v>
      </c>
      <c r="L13" s="15">
        <v>100</v>
      </c>
      <c r="M13" s="15">
        <v>0</v>
      </c>
      <c r="N13" s="15">
        <v>16000</v>
      </c>
      <c r="O13" s="15">
        <v>11</v>
      </c>
      <c r="P13" s="15" t="b">
        <v>1</v>
      </c>
      <c r="Q13" s="15" t="s">
        <v>65</v>
      </c>
      <c r="R13" s="15"/>
    </row>
    <row r="14" spans="1:18">
      <c r="A14" s="15">
        <v>27</v>
      </c>
      <c r="B14" s="15" t="s">
        <v>66</v>
      </c>
      <c r="C14" s="15" t="s">
        <v>67</v>
      </c>
      <c r="D14" s="15" t="s">
        <v>30</v>
      </c>
      <c r="E14" s="15" t="s">
        <v>68</v>
      </c>
      <c r="F14" s="15" t="s">
        <v>69</v>
      </c>
      <c r="G14" s="15" t="s">
        <v>70</v>
      </c>
      <c r="H14" s="15" t="s">
        <v>71</v>
      </c>
      <c r="I14" s="15" t="s">
        <v>49</v>
      </c>
      <c r="J14" s="15" t="s">
        <v>35</v>
      </c>
      <c r="K14" s="15">
        <v>0</v>
      </c>
      <c r="L14" s="15">
        <v>100</v>
      </c>
      <c r="M14" s="15">
        <v>0</v>
      </c>
      <c r="N14" s="15">
        <v>16000</v>
      </c>
      <c r="O14" s="15">
        <v>13</v>
      </c>
      <c r="P14" s="15" t="b">
        <v>1</v>
      </c>
      <c r="Q14" s="15"/>
      <c r="R14" s="15"/>
    </row>
    <row r="15" spans="1:18">
      <c r="A15" s="15">
        <v>28</v>
      </c>
      <c r="B15" s="15" t="s">
        <v>72</v>
      </c>
      <c r="C15" s="15" t="s">
        <v>67</v>
      </c>
      <c r="D15" s="15" t="s">
        <v>30</v>
      </c>
      <c r="E15" s="15" t="s">
        <v>31</v>
      </c>
      <c r="F15" s="15" t="s">
        <v>58</v>
      </c>
      <c r="G15" s="15" t="s">
        <v>70</v>
      </c>
      <c r="H15" s="15" t="s">
        <v>71</v>
      </c>
      <c r="I15" s="15" t="s">
        <v>49</v>
      </c>
      <c r="J15" s="15" t="s">
        <v>35</v>
      </c>
      <c r="K15" s="15">
        <v>0</v>
      </c>
      <c r="L15" s="15">
        <v>100</v>
      </c>
      <c r="M15" s="15">
        <v>0</v>
      </c>
      <c r="N15" s="15">
        <v>16000</v>
      </c>
      <c r="O15" s="15">
        <v>14</v>
      </c>
      <c r="P15" s="15" t="b">
        <v>1</v>
      </c>
      <c r="Q15" s="15"/>
      <c r="R15" s="15"/>
    </row>
    <row r="16" spans="1:18">
      <c r="A16" s="15">
        <v>29</v>
      </c>
      <c r="B16" s="15" t="s">
        <v>73</v>
      </c>
      <c r="C16" s="15" t="s">
        <v>67</v>
      </c>
      <c r="D16" s="15" t="s">
        <v>30</v>
      </c>
      <c r="E16" s="15" t="s">
        <v>74</v>
      </c>
      <c r="F16" s="15" t="s">
        <v>75</v>
      </c>
      <c r="G16" s="15" t="s">
        <v>70</v>
      </c>
      <c r="H16" s="15" t="s">
        <v>71</v>
      </c>
      <c r="I16" s="15" t="s">
        <v>49</v>
      </c>
      <c r="J16" s="15" t="s">
        <v>35</v>
      </c>
      <c r="K16" s="15">
        <v>0</v>
      </c>
      <c r="L16" s="15">
        <v>100</v>
      </c>
      <c r="M16" s="15">
        <v>0</v>
      </c>
      <c r="N16" s="15">
        <v>16000</v>
      </c>
      <c r="O16" s="15">
        <v>15</v>
      </c>
      <c r="P16" s="15" t="b">
        <v>1</v>
      </c>
      <c r="Q16" s="15"/>
      <c r="R16" s="15"/>
    </row>
    <row r="17" spans="1:18">
      <c r="A17" s="15">
        <v>30</v>
      </c>
      <c r="B17" s="15" t="s">
        <v>76</v>
      </c>
      <c r="C17" s="15" t="s">
        <v>77</v>
      </c>
      <c r="D17" s="15" t="s">
        <v>30</v>
      </c>
      <c r="E17" s="15" t="s">
        <v>74</v>
      </c>
      <c r="F17" s="15" t="s">
        <v>78</v>
      </c>
      <c r="G17" s="15" t="s">
        <v>59</v>
      </c>
      <c r="H17" s="15" t="s">
        <v>57</v>
      </c>
      <c r="I17" s="15" t="s">
        <v>52</v>
      </c>
      <c r="J17" s="15" t="s">
        <v>35</v>
      </c>
      <c r="K17" s="15">
        <v>0</v>
      </c>
      <c r="L17" s="15">
        <v>100</v>
      </c>
      <c r="M17" s="15">
        <v>0</v>
      </c>
      <c r="N17" s="15">
        <v>16000</v>
      </c>
      <c r="O17" s="15">
        <v>17</v>
      </c>
      <c r="P17" s="15" t="b">
        <v>1</v>
      </c>
      <c r="Q17" s="15" t="s">
        <v>79</v>
      </c>
      <c r="R17" s="15"/>
    </row>
    <row r="18" spans="1:18">
      <c r="A18" s="15">
        <v>37</v>
      </c>
      <c r="B18" s="15" t="s">
        <v>80</v>
      </c>
      <c r="C18" s="15" t="s">
        <v>81</v>
      </c>
      <c r="D18" s="15" t="s">
        <v>30</v>
      </c>
      <c r="E18" s="15"/>
      <c r="F18" s="15" t="s">
        <v>82</v>
      </c>
      <c r="G18" s="15" t="s">
        <v>83</v>
      </c>
      <c r="H18" s="15" t="s">
        <v>84</v>
      </c>
      <c r="I18" s="15" t="s">
        <v>81</v>
      </c>
      <c r="J18" s="15" t="s">
        <v>35</v>
      </c>
      <c r="K18" s="15">
        <v>0</v>
      </c>
      <c r="L18" s="15">
        <v>1</v>
      </c>
      <c r="M18" s="15">
        <v>0</v>
      </c>
      <c r="N18" s="15">
        <v>1</v>
      </c>
      <c r="O18" s="15">
        <v>18</v>
      </c>
      <c r="P18" s="15" t="b">
        <v>1</v>
      </c>
      <c r="Q18" s="15" t="s">
        <v>85</v>
      </c>
      <c r="R18" s="15"/>
    </row>
    <row r="19" spans="1:18">
      <c r="A19" s="15">
        <v>38</v>
      </c>
      <c r="B19" s="15" t="s">
        <v>86</v>
      </c>
      <c r="C19" s="15" t="s">
        <v>81</v>
      </c>
      <c r="D19" s="15" t="s">
        <v>30</v>
      </c>
      <c r="E19" s="15"/>
      <c r="F19" s="15" t="s">
        <v>87</v>
      </c>
      <c r="G19" s="15" t="s">
        <v>83</v>
      </c>
      <c r="H19" s="15" t="s">
        <v>88</v>
      </c>
      <c r="I19" s="15" t="s">
        <v>81</v>
      </c>
      <c r="J19" s="15" t="s">
        <v>35</v>
      </c>
      <c r="K19" s="15">
        <v>0</v>
      </c>
      <c r="L19" s="15">
        <v>1</v>
      </c>
      <c r="M19" s="15">
        <v>0</v>
      </c>
      <c r="N19" s="15">
        <v>1</v>
      </c>
      <c r="O19" s="15">
        <v>19</v>
      </c>
      <c r="P19" s="15" t="b">
        <v>1</v>
      </c>
      <c r="Q19" s="15" t="s">
        <v>89</v>
      </c>
      <c r="R19" s="15"/>
    </row>
    <row r="20" spans="1:18">
      <c r="A20" s="15">
        <v>39</v>
      </c>
      <c r="B20" s="15" t="s">
        <v>90</v>
      </c>
      <c r="C20" s="15" t="s">
        <v>81</v>
      </c>
      <c r="D20" s="15" t="s">
        <v>30</v>
      </c>
      <c r="E20" s="15"/>
      <c r="F20" s="15" t="s">
        <v>91</v>
      </c>
      <c r="G20" s="15" t="s">
        <v>83</v>
      </c>
      <c r="H20" s="15" t="s">
        <v>92</v>
      </c>
      <c r="I20" s="15" t="s">
        <v>81</v>
      </c>
      <c r="J20" s="15" t="s">
        <v>35</v>
      </c>
      <c r="K20" s="15">
        <v>0</v>
      </c>
      <c r="L20" s="15">
        <v>1</v>
      </c>
      <c r="M20" s="15">
        <v>0</v>
      </c>
      <c r="N20" s="15">
        <v>1</v>
      </c>
      <c r="O20" s="15">
        <v>20</v>
      </c>
      <c r="P20" s="15" t="b">
        <v>1</v>
      </c>
      <c r="Q20" s="15" t="s">
        <v>93</v>
      </c>
      <c r="R20" s="15"/>
    </row>
    <row r="21" spans="1:18">
      <c r="A21" s="15">
        <v>40</v>
      </c>
      <c r="B21" s="15" t="s">
        <v>94</v>
      </c>
      <c r="C21" s="15" t="s">
        <v>81</v>
      </c>
      <c r="D21" s="15" t="s">
        <v>30</v>
      </c>
      <c r="E21" s="15"/>
      <c r="F21" s="15" t="s">
        <v>95</v>
      </c>
      <c r="G21" s="15" t="s">
        <v>83</v>
      </c>
      <c r="H21" s="15" t="s">
        <v>96</v>
      </c>
      <c r="I21" s="15" t="s">
        <v>81</v>
      </c>
      <c r="J21" s="15" t="s">
        <v>35</v>
      </c>
      <c r="K21" s="15">
        <v>0</v>
      </c>
      <c r="L21" s="15">
        <v>1</v>
      </c>
      <c r="M21" s="15">
        <v>0</v>
      </c>
      <c r="N21" s="15">
        <v>1</v>
      </c>
      <c r="O21" s="15">
        <v>21</v>
      </c>
      <c r="P21" s="15" t="b">
        <v>0</v>
      </c>
      <c r="Q21" s="15" t="s">
        <v>97</v>
      </c>
      <c r="R21" s="15"/>
    </row>
    <row r="22" spans="1:18">
      <c r="A22" s="15">
        <v>21</v>
      </c>
      <c r="B22" s="15" t="s">
        <v>98</v>
      </c>
      <c r="C22" s="15" t="s">
        <v>67</v>
      </c>
      <c r="D22" s="15" t="s">
        <v>99</v>
      </c>
      <c r="E22" s="15"/>
      <c r="F22" s="15" t="s">
        <v>100</v>
      </c>
      <c r="G22" s="15" t="s">
        <v>59</v>
      </c>
      <c r="H22" s="15" t="s">
        <v>101</v>
      </c>
      <c r="I22" s="15" t="s">
        <v>52</v>
      </c>
      <c r="J22" s="15" t="s">
        <v>35</v>
      </c>
      <c r="K22" s="15">
        <v>0</v>
      </c>
      <c r="L22" s="15">
        <v>100</v>
      </c>
      <c r="M22" s="15">
        <v>0</v>
      </c>
      <c r="N22" s="15">
        <v>16000</v>
      </c>
      <c r="O22" s="15">
        <v>30</v>
      </c>
      <c r="P22" s="15" t="b">
        <v>0</v>
      </c>
      <c r="Q22" s="15" t="s">
        <v>102</v>
      </c>
      <c r="R22" s="15"/>
    </row>
    <row r="23" spans="1:18">
      <c r="A23" s="15">
        <v>22</v>
      </c>
      <c r="B23" s="15" t="s">
        <v>103</v>
      </c>
      <c r="C23" s="15" t="s">
        <v>67</v>
      </c>
      <c r="D23" s="15" t="s">
        <v>99</v>
      </c>
      <c r="E23" s="15"/>
      <c r="F23" s="15" t="s">
        <v>100</v>
      </c>
      <c r="G23" s="15" t="s">
        <v>59</v>
      </c>
      <c r="H23" s="15" t="s">
        <v>104</v>
      </c>
      <c r="I23" s="15" t="s">
        <v>52</v>
      </c>
      <c r="J23" s="15" t="s">
        <v>35</v>
      </c>
      <c r="K23" s="15">
        <v>0</v>
      </c>
      <c r="L23" s="15">
        <v>100</v>
      </c>
      <c r="M23" s="15">
        <v>0</v>
      </c>
      <c r="N23" s="15">
        <v>16000</v>
      </c>
      <c r="O23" s="15">
        <v>31</v>
      </c>
      <c r="P23" s="15" t="b">
        <v>0</v>
      </c>
      <c r="Q23" s="15" t="s">
        <v>105</v>
      </c>
      <c r="R23" s="15"/>
    </row>
    <row r="24" spans="1:18">
      <c r="A24" s="15">
        <v>25</v>
      </c>
      <c r="B24" s="15" t="s">
        <v>106</v>
      </c>
      <c r="C24" s="15" t="s">
        <v>67</v>
      </c>
      <c r="D24" s="15" t="s">
        <v>99</v>
      </c>
      <c r="E24" s="15"/>
      <c r="F24" s="15" t="s">
        <v>100</v>
      </c>
      <c r="G24" s="15" t="s">
        <v>107</v>
      </c>
      <c r="H24" s="15" t="s">
        <v>108</v>
      </c>
      <c r="I24" s="15" t="s">
        <v>34</v>
      </c>
      <c r="J24" s="15" t="s">
        <v>35</v>
      </c>
      <c r="K24" s="15">
        <v>0</v>
      </c>
      <c r="L24" s="15">
        <v>100</v>
      </c>
      <c r="M24" s="15">
        <v>0</v>
      </c>
      <c r="N24" s="15">
        <v>16000</v>
      </c>
      <c r="O24" s="15">
        <v>32</v>
      </c>
      <c r="P24" s="15" t="b">
        <v>1</v>
      </c>
      <c r="Q24" s="15" t="s">
        <v>109</v>
      </c>
      <c r="R24" s="15"/>
    </row>
    <row r="25" spans="1:18" ht="32.25" customHeight="1">
      <c r="A25" s="15">
        <v>41</v>
      </c>
      <c r="B25" s="15" t="s">
        <v>110</v>
      </c>
      <c r="C25" s="15" t="s">
        <v>81</v>
      </c>
      <c r="D25" s="15" t="s">
        <v>111</v>
      </c>
      <c r="E25" s="15"/>
      <c r="F25" s="15" t="s">
        <v>112</v>
      </c>
      <c r="G25" s="15" t="s">
        <v>83</v>
      </c>
      <c r="H25" s="15" t="s">
        <v>81</v>
      </c>
      <c r="I25" s="15" t="s">
        <v>81</v>
      </c>
      <c r="J25" s="15" t="s">
        <v>35</v>
      </c>
      <c r="K25" s="15">
        <v>0</v>
      </c>
      <c r="L25" s="15">
        <v>1</v>
      </c>
      <c r="M25" s="15">
        <v>0</v>
      </c>
      <c r="N25" s="15">
        <v>1</v>
      </c>
      <c r="O25" s="15">
        <v>34</v>
      </c>
      <c r="P25" s="15" t="b">
        <v>0</v>
      </c>
      <c r="Q25" s="15" t="s">
        <v>113</v>
      </c>
      <c r="R25" s="15" t="s">
        <v>114</v>
      </c>
    </row>
    <row r="26" spans="1:18">
      <c r="A26" s="15">
        <v>42</v>
      </c>
      <c r="B26" s="15" t="s">
        <v>115</v>
      </c>
      <c r="C26" s="15" t="s">
        <v>81</v>
      </c>
      <c r="D26" s="15" t="s">
        <v>111</v>
      </c>
      <c r="E26" s="15"/>
      <c r="F26" s="15" t="s">
        <v>116</v>
      </c>
      <c r="G26" s="15" t="s">
        <v>83</v>
      </c>
      <c r="H26" s="15" t="s">
        <v>81</v>
      </c>
      <c r="I26" s="15" t="s">
        <v>81</v>
      </c>
      <c r="J26" s="15" t="s">
        <v>35</v>
      </c>
      <c r="K26" s="15">
        <v>0</v>
      </c>
      <c r="L26" s="15">
        <v>1</v>
      </c>
      <c r="M26" s="15">
        <v>0</v>
      </c>
      <c r="N26" s="15">
        <v>1</v>
      </c>
      <c r="O26" s="15">
        <v>35</v>
      </c>
      <c r="P26" s="15" t="b">
        <v>0</v>
      </c>
      <c r="Q26" s="15" t="s">
        <v>117</v>
      </c>
      <c r="R26" s="15" t="s">
        <v>114</v>
      </c>
    </row>
    <row r="27" spans="1:18">
      <c r="A27" s="15">
        <v>43</v>
      </c>
      <c r="B27" s="15" t="s">
        <v>118</v>
      </c>
      <c r="C27" s="15" t="s">
        <v>81</v>
      </c>
      <c r="D27" s="15" t="s">
        <v>111</v>
      </c>
      <c r="E27" s="15"/>
      <c r="F27" s="15" t="s">
        <v>119</v>
      </c>
      <c r="G27" s="15" t="s">
        <v>83</v>
      </c>
      <c r="H27" s="15" t="s">
        <v>81</v>
      </c>
      <c r="I27" s="15" t="s">
        <v>81</v>
      </c>
      <c r="J27" s="15" t="s">
        <v>35</v>
      </c>
      <c r="K27" s="15">
        <v>0</v>
      </c>
      <c r="L27" s="15">
        <v>1</v>
      </c>
      <c r="M27" s="15">
        <v>0</v>
      </c>
      <c r="N27" s="15">
        <v>1</v>
      </c>
      <c r="O27" s="15">
        <v>36</v>
      </c>
      <c r="P27" s="15" t="b">
        <v>0</v>
      </c>
      <c r="Q27" s="15" t="s">
        <v>120</v>
      </c>
      <c r="R27" s="15" t="s">
        <v>114</v>
      </c>
    </row>
    <row r="28" spans="1:18" ht="33">
      <c r="A28" s="15">
        <v>26</v>
      </c>
      <c r="B28" s="15" t="s">
        <v>121</v>
      </c>
      <c r="C28" s="15" t="s">
        <v>67</v>
      </c>
      <c r="D28" s="15" t="s">
        <v>99</v>
      </c>
      <c r="E28" s="15"/>
      <c r="F28" s="15" t="s">
        <v>122</v>
      </c>
      <c r="G28" s="15" t="s">
        <v>70</v>
      </c>
      <c r="H28" s="15" t="s">
        <v>71</v>
      </c>
      <c r="I28" s="15" t="s">
        <v>49</v>
      </c>
      <c r="J28" s="15" t="s">
        <v>35</v>
      </c>
      <c r="K28" s="15">
        <v>0</v>
      </c>
      <c r="L28" s="15">
        <v>100</v>
      </c>
      <c r="M28" s="15">
        <v>0</v>
      </c>
      <c r="N28" s="15">
        <v>16000</v>
      </c>
      <c r="O28" s="15">
        <v>37</v>
      </c>
      <c r="P28" s="15" t="b">
        <v>1</v>
      </c>
      <c r="Q28" s="16" t="s">
        <v>123</v>
      </c>
      <c r="R28" s="15"/>
    </row>
    <row r="29" spans="1:18">
      <c r="A29" s="15">
        <v>44</v>
      </c>
      <c r="B29" s="15" t="s">
        <v>124</v>
      </c>
      <c r="C29" s="15" t="s">
        <v>81</v>
      </c>
      <c r="D29" s="15" t="s">
        <v>111</v>
      </c>
      <c r="E29" s="15"/>
      <c r="F29" s="15" t="s">
        <v>125</v>
      </c>
      <c r="G29" s="15" t="s">
        <v>83</v>
      </c>
      <c r="H29" s="15" t="s">
        <v>81</v>
      </c>
      <c r="I29" s="15" t="s">
        <v>81</v>
      </c>
      <c r="J29" s="15" t="s">
        <v>35</v>
      </c>
      <c r="K29" s="15">
        <v>0</v>
      </c>
      <c r="L29" s="15">
        <v>1</v>
      </c>
      <c r="M29" s="15">
        <v>0</v>
      </c>
      <c r="N29" s="15">
        <v>1</v>
      </c>
      <c r="O29" s="15">
        <v>40</v>
      </c>
      <c r="P29" s="15" t="b">
        <v>0</v>
      </c>
      <c r="Q29" s="15" t="s">
        <v>126</v>
      </c>
      <c r="R29" s="15" t="s">
        <v>114</v>
      </c>
    </row>
    <row r="30" spans="1:18">
      <c r="A30" s="15">
        <v>45</v>
      </c>
      <c r="B30" s="15" t="s">
        <v>127</v>
      </c>
      <c r="C30" s="15" t="s">
        <v>81</v>
      </c>
      <c r="D30" s="15" t="s">
        <v>111</v>
      </c>
      <c r="E30" s="15"/>
      <c r="F30" s="15" t="s">
        <v>128</v>
      </c>
      <c r="G30" s="15" t="s">
        <v>83</v>
      </c>
      <c r="H30" s="15" t="s">
        <v>81</v>
      </c>
      <c r="I30" s="15" t="s">
        <v>81</v>
      </c>
      <c r="J30" s="15" t="s">
        <v>35</v>
      </c>
      <c r="K30" s="15">
        <v>0</v>
      </c>
      <c r="L30" s="15">
        <v>1</v>
      </c>
      <c r="M30" s="15">
        <v>0</v>
      </c>
      <c r="N30" s="15">
        <v>1</v>
      </c>
      <c r="O30" s="15">
        <v>41</v>
      </c>
      <c r="P30" s="15" t="b">
        <v>0</v>
      </c>
      <c r="Q30" s="15" t="s">
        <v>129</v>
      </c>
      <c r="R30" s="15" t="s">
        <v>114</v>
      </c>
    </row>
    <row r="31" spans="1:18">
      <c r="A31" s="15">
        <v>46</v>
      </c>
      <c r="B31" s="15" t="s">
        <v>130</v>
      </c>
      <c r="C31" s="15" t="s">
        <v>81</v>
      </c>
      <c r="D31" s="15" t="s">
        <v>111</v>
      </c>
      <c r="E31" s="15"/>
      <c r="F31" s="15" t="s">
        <v>131</v>
      </c>
      <c r="G31" s="15" t="s">
        <v>83</v>
      </c>
      <c r="H31" s="15" t="s">
        <v>81</v>
      </c>
      <c r="I31" s="15" t="s">
        <v>81</v>
      </c>
      <c r="J31" s="15" t="s">
        <v>35</v>
      </c>
      <c r="K31" s="15">
        <v>0</v>
      </c>
      <c r="L31" s="15">
        <v>1</v>
      </c>
      <c r="M31" s="15">
        <v>0</v>
      </c>
      <c r="N31" s="15">
        <v>1</v>
      </c>
      <c r="O31" s="15">
        <v>42</v>
      </c>
      <c r="P31" s="15" t="b">
        <v>0</v>
      </c>
      <c r="Q31" s="15" t="s">
        <v>132</v>
      </c>
      <c r="R31" s="15" t="s">
        <v>114</v>
      </c>
    </row>
    <row r="32" spans="1:18">
      <c r="A32" s="15">
        <v>13</v>
      </c>
      <c r="B32" s="15" t="s">
        <v>133</v>
      </c>
      <c r="C32" s="15" t="s">
        <v>29</v>
      </c>
      <c r="D32" s="15" t="s">
        <v>134</v>
      </c>
      <c r="E32" s="15"/>
      <c r="F32" s="15" t="s">
        <v>135</v>
      </c>
      <c r="G32" s="15" t="s">
        <v>136</v>
      </c>
      <c r="H32" s="15" t="s">
        <v>137</v>
      </c>
      <c r="I32" s="15" t="s">
        <v>138</v>
      </c>
      <c r="J32" s="15" t="s">
        <v>139</v>
      </c>
      <c r="K32" s="15">
        <v>0</v>
      </c>
      <c r="L32" s="15">
        <v>1</v>
      </c>
      <c r="M32" s="15">
        <v>0</v>
      </c>
      <c r="N32" s="15">
        <v>1</v>
      </c>
      <c r="O32" s="15">
        <v>250</v>
      </c>
      <c r="P32" s="15" t="b">
        <v>1</v>
      </c>
      <c r="Q32" s="15" t="s">
        <v>140</v>
      </c>
      <c r="R32" s="15"/>
    </row>
    <row r="33" spans="1:18">
      <c r="A33" s="15">
        <v>14</v>
      </c>
      <c r="B33" s="15" t="s">
        <v>141</v>
      </c>
      <c r="C33" s="15" t="s">
        <v>29</v>
      </c>
      <c r="D33" s="15" t="s">
        <v>134</v>
      </c>
      <c r="E33" s="15"/>
      <c r="F33" s="15" t="s">
        <v>142</v>
      </c>
      <c r="G33" s="15" t="s">
        <v>136</v>
      </c>
      <c r="H33" s="15" t="s">
        <v>137</v>
      </c>
      <c r="I33" s="15" t="s">
        <v>138</v>
      </c>
      <c r="J33" s="15" t="s">
        <v>139</v>
      </c>
      <c r="K33" s="15">
        <v>0</v>
      </c>
      <c r="L33" s="15">
        <v>1</v>
      </c>
      <c r="M33" s="15">
        <v>0</v>
      </c>
      <c r="N33" s="15">
        <v>1</v>
      </c>
      <c r="O33" s="15">
        <v>251</v>
      </c>
      <c r="P33" s="15" t="b">
        <v>1</v>
      </c>
      <c r="Q33" s="15" t="s">
        <v>143</v>
      </c>
      <c r="R33" s="15"/>
    </row>
    <row r="34" spans="1:18">
      <c r="A34" s="15">
        <v>18</v>
      </c>
      <c r="B34" s="15"/>
      <c r="C34" s="15"/>
      <c r="D34" s="15"/>
      <c r="E34" s="15"/>
      <c r="F34" s="15"/>
      <c r="G34" s="15"/>
      <c r="H34" s="15"/>
      <c r="I34" s="15"/>
      <c r="J34" s="15" t="s">
        <v>139</v>
      </c>
      <c r="K34" s="15">
        <v>0</v>
      </c>
      <c r="L34" s="15">
        <v>1</v>
      </c>
      <c r="M34" s="15">
        <v>0</v>
      </c>
      <c r="N34" s="15">
        <v>1</v>
      </c>
      <c r="O34" s="15">
        <v>252</v>
      </c>
      <c r="P34" s="15" t="b">
        <v>0</v>
      </c>
      <c r="Q34" s="15"/>
      <c r="R34" s="15"/>
    </row>
    <row r="35" spans="1:18">
      <c r="A35" s="15">
        <v>19</v>
      </c>
      <c r="B35" s="15" t="s">
        <v>144</v>
      </c>
      <c r="C35" s="15" t="s">
        <v>67</v>
      </c>
      <c r="D35" s="15" t="s">
        <v>134</v>
      </c>
      <c r="E35" s="50" t="s">
        <v>145</v>
      </c>
      <c r="F35" s="15" t="s">
        <v>146</v>
      </c>
      <c r="G35" s="15" t="s">
        <v>147</v>
      </c>
      <c r="H35" s="15" t="s">
        <v>148</v>
      </c>
      <c r="I35" s="15" t="s">
        <v>52</v>
      </c>
      <c r="J35" s="15" t="s">
        <v>139</v>
      </c>
      <c r="K35" s="15">
        <v>0</v>
      </c>
      <c r="L35" s="15">
        <v>1</v>
      </c>
      <c r="M35" s="15">
        <v>0</v>
      </c>
      <c r="N35" s="15">
        <v>1</v>
      </c>
      <c r="O35" s="15">
        <v>253</v>
      </c>
      <c r="P35" s="15" t="b">
        <v>1</v>
      </c>
      <c r="Q35" s="15" t="s">
        <v>149</v>
      </c>
      <c r="R35" s="15"/>
    </row>
    <row r="36" spans="1:18">
      <c r="A36" s="15">
        <v>20</v>
      </c>
      <c r="B36" s="15" t="s">
        <v>150</v>
      </c>
      <c r="C36" s="15" t="s">
        <v>67</v>
      </c>
      <c r="D36" s="15" t="s">
        <v>134</v>
      </c>
      <c r="E36" s="50" t="s">
        <v>145</v>
      </c>
      <c r="F36" s="15" t="s">
        <v>146</v>
      </c>
      <c r="G36" s="15" t="s">
        <v>147</v>
      </c>
      <c r="H36" s="15" t="s">
        <v>151</v>
      </c>
      <c r="I36" s="15" t="s">
        <v>52</v>
      </c>
      <c r="J36" s="15" t="s">
        <v>139</v>
      </c>
      <c r="K36" s="15">
        <v>0</v>
      </c>
      <c r="L36" s="15">
        <v>1</v>
      </c>
      <c r="M36" s="15">
        <v>0</v>
      </c>
      <c r="N36" s="15">
        <v>1</v>
      </c>
      <c r="O36" s="15">
        <v>254</v>
      </c>
      <c r="P36" s="15" t="b">
        <v>1</v>
      </c>
      <c r="Q36" s="15" t="s">
        <v>152</v>
      </c>
      <c r="R36" s="15"/>
    </row>
    <row r="37" spans="1:18">
      <c r="A37" s="15">
        <v>24</v>
      </c>
      <c r="B37" s="15" t="s">
        <v>153</v>
      </c>
      <c r="C37" s="15" t="s">
        <v>154</v>
      </c>
      <c r="D37" s="15" t="s">
        <v>134</v>
      </c>
      <c r="E37" s="15"/>
      <c r="F37" s="15" t="s">
        <v>146</v>
      </c>
      <c r="G37" s="15" t="s">
        <v>147</v>
      </c>
      <c r="H37" s="15" t="s">
        <v>155</v>
      </c>
      <c r="I37" s="15" t="s">
        <v>138</v>
      </c>
      <c r="J37" s="15" t="s">
        <v>139</v>
      </c>
      <c r="K37" s="15">
        <v>0</v>
      </c>
      <c r="L37" s="15">
        <v>1</v>
      </c>
      <c r="M37" s="15">
        <v>0</v>
      </c>
      <c r="N37" s="15">
        <v>1</v>
      </c>
      <c r="O37" s="15">
        <v>255</v>
      </c>
      <c r="P37" s="15" t="b">
        <v>1</v>
      </c>
      <c r="Q37" s="15" t="s">
        <v>156</v>
      </c>
      <c r="R37" s="15"/>
    </row>
    <row r="38" spans="1:18">
      <c r="A38" s="15">
        <v>32</v>
      </c>
      <c r="B38" s="15" t="s">
        <v>157</v>
      </c>
      <c r="C38" s="15" t="s">
        <v>81</v>
      </c>
      <c r="D38" s="15" t="s">
        <v>134</v>
      </c>
      <c r="E38" s="15"/>
      <c r="F38" s="15" t="s">
        <v>83</v>
      </c>
      <c r="G38" s="15" t="s">
        <v>83</v>
      </c>
      <c r="H38" s="15" t="s">
        <v>81</v>
      </c>
      <c r="I38" s="15" t="s">
        <v>81</v>
      </c>
      <c r="J38" s="15" t="s">
        <v>158</v>
      </c>
      <c r="K38" s="15">
        <v>0</v>
      </c>
      <c r="L38" s="15">
        <v>1</v>
      </c>
      <c r="M38" s="15">
        <v>0</v>
      </c>
      <c r="N38" s="15">
        <v>1</v>
      </c>
      <c r="O38" s="17">
        <v>256</v>
      </c>
      <c r="P38" s="15" t="b">
        <v>1</v>
      </c>
      <c r="Q38" s="15" t="s">
        <v>159</v>
      </c>
      <c r="R38" s="15"/>
    </row>
    <row r="39" spans="1:18">
      <c r="A39" s="15">
        <v>31</v>
      </c>
      <c r="B39" s="15" t="s">
        <v>160</v>
      </c>
      <c r="C39" s="15" t="s">
        <v>81</v>
      </c>
      <c r="D39" s="15" t="s">
        <v>161</v>
      </c>
      <c r="E39" s="15"/>
      <c r="F39" s="15" t="s">
        <v>83</v>
      </c>
      <c r="G39" s="15" t="s">
        <v>83</v>
      </c>
      <c r="H39" s="15" t="s">
        <v>81</v>
      </c>
      <c r="I39" s="15" t="s">
        <v>81</v>
      </c>
      <c r="J39" s="15" t="s">
        <v>158</v>
      </c>
      <c r="K39" s="15">
        <v>0</v>
      </c>
      <c r="L39" s="15">
        <v>1</v>
      </c>
      <c r="M39" s="15">
        <v>0</v>
      </c>
      <c r="N39" s="15">
        <v>1</v>
      </c>
      <c r="O39" s="15">
        <v>450</v>
      </c>
      <c r="P39" s="15" t="b">
        <v>1</v>
      </c>
      <c r="Q39" s="15" t="s">
        <v>162</v>
      </c>
      <c r="R39" s="15"/>
    </row>
    <row r="40" spans="1:18">
      <c r="A40" s="15">
        <v>33</v>
      </c>
      <c r="B40" s="15" t="s">
        <v>163</v>
      </c>
      <c r="C40" s="15" t="s">
        <v>81</v>
      </c>
      <c r="D40" s="15" t="s">
        <v>164</v>
      </c>
      <c r="E40" s="15"/>
      <c r="F40" s="15" t="s">
        <v>83</v>
      </c>
      <c r="G40" s="15" t="s">
        <v>83</v>
      </c>
      <c r="H40" s="15" t="s">
        <v>81</v>
      </c>
      <c r="I40" s="15" t="s">
        <v>81</v>
      </c>
      <c r="J40" s="15" t="s">
        <v>158</v>
      </c>
      <c r="K40" s="15">
        <v>0</v>
      </c>
      <c r="L40" s="15">
        <v>1</v>
      </c>
      <c r="M40" s="15">
        <v>0</v>
      </c>
      <c r="N40" s="15">
        <v>1</v>
      </c>
      <c r="O40" s="15">
        <v>451</v>
      </c>
      <c r="P40" s="15" t="b">
        <v>1</v>
      </c>
      <c r="Q40" s="15" t="s">
        <v>165</v>
      </c>
      <c r="R40" s="15"/>
    </row>
    <row r="41" spans="1:18">
      <c r="A41" s="15">
        <v>15</v>
      </c>
      <c r="B41" s="15"/>
      <c r="C41" s="15"/>
      <c r="D41" s="15"/>
      <c r="E41" s="15"/>
      <c r="F41" s="15"/>
      <c r="G41" s="15"/>
      <c r="H41" s="15"/>
      <c r="I41" s="15"/>
      <c r="J41" s="15" t="s">
        <v>139</v>
      </c>
      <c r="K41" s="15">
        <v>0</v>
      </c>
      <c r="L41" s="15">
        <v>1</v>
      </c>
      <c r="M41" s="15">
        <v>0</v>
      </c>
      <c r="N41" s="15">
        <v>1</v>
      </c>
      <c r="O41" s="15">
        <v>452</v>
      </c>
      <c r="P41" s="15" t="b">
        <v>0</v>
      </c>
      <c r="Q41" s="15"/>
      <c r="R41" s="15"/>
    </row>
    <row r="42" spans="1:18">
      <c r="A42" s="15">
        <v>16</v>
      </c>
      <c r="B42" s="15" t="s">
        <v>166</v>
      </c>
      <c r="C42" s="15" t="s">
        <v>67</v>
      </c>
      <c r="D42" s="15" t="s">
        <v>161</v>
      </c>
      <c r="E42" s="15"/>
      <c r="F42" s="15" t="s">
        <v>167</v>
      </c>
      <c r="G42" s="15" t="s">
        <v>147</v>
      </c>
      <c r="H42" s="15" t="s">
        <v>166</v>
      </c>
      <c r="I42" s="15" t="s">
        <v>52</v>
      </c>
      <c r="J42" s="15" t="s">
        <v>139</v>
      </c>
      <c r="K42" s="15">
        <v>0</v>
      </c>
      <c r="L42" s="15">
        <v>1</v>
      </c>
      <c r="M42" s="15">
        <v>0</v>
      </c>
      <c r="N42" s="15">
        <v>1</v>
      </c>
      <c r="O42" s="15">
        <v>453</v>
      </c>
      <c r="P42" s="15" t="b">
        <v>1</v>
      </c>
      <c r="Q42" s="15" t="s">
        <v>168</v>
      </c>
      <c r="R42" s="15"/>
    </row>
    <row r="43" spans="1:18">
      <c r="A43" s="15">
        <v>17</v>
      </c>
      <c r="B43" s="15" t="s">
        <v>148</v>
      </c>
      <c r="C43" s="15" t="s">
        <v>67</v>
      </c>
      <c r="D43" s="15" t="s">
        <v>161</v>
      </c>
      <c r="E43" s="15"/>
      <c r="F43" s="15" t="s">
        <v>167</v>
      </c>
      <c r="G43" s="15" t="s">
        <v>147</v>
      </c>
      <c r="H43" s="15" t="s">
        <v>148</v>
      </c>
      <c r="I43" s="15" t="s">
        <v>52</v>
      </c>
      <c r="J43" s="15" t="s">
        <v>139</v>
      </c>
      <c r="K43" s="15">
        <v>0</v>
      </c>
      <c r="L43" s="15">
        <v>1</v>
      </c>
      <c r="M43" s="15">
        <v>0</v>
      </c>
      <c r="N43" s="15">
        <v>1</v>
      </c>
      <c r="O43" s="15">
        <v>454</v>
      </c>
      <c r="P43" s="15" t="b">
        <v>1</v>
      </c>
      <c r="Q43" s="15" t="s">
        <v>169</v>
      </c>
      <c r="R43" s="15"/>
    </row>
    <row r="44" spans="1:18">
      <c r="A44" s="15">
        <v>23</v>
      </c>
      <c r="B44" s="15" t="s">
        <v>155</v>
      </c>
      <c r="C44" s="15" t="s">
        <v>154</v>
      </c>
      <c r="D44" s="15" t="s">
        <v>161</v>
      </c>
      <c r="E44" s="15"/>
      <c r="F44" s="15" t="s">
        <v>167</v>
      </c>
      <c r="G44" s="15" t="s">
        <v>147</v>
      </c>
      <c r="H44" s="15" t="s">
        <v>155</v>
      </c>
      <c r="I44" s="15" t="s">
        <v>138</v>
      </c>
      <c r="J44" s="15" t="s">
        <v>139</v>
      </c>
      <c r="K44" s="15">
        <v>0</v>
      </c>
      <c r="L44" s="15">
        <v>1</v>
      </c>
      <c r="M44" s="15">
        <v>0</v>
      </c>
      <c r="N44" s="15">
        <v>1</v>
      </c>
      <c r="O44" s="15">
        <v>455</v>
      </c>
      <c r="P44" s="15" t="b">
        <v>1</v>
      </c>
      <c r="Q44" s="15" t="s">
        <v>170</v>
      </c>
      <c r="R44" s="15"/>
    </row>
    <row r="45" spans="1:18">
      <c r="A45" s="15">
        <v>49</v>
      </c>
      <c r="B45" s="15" t="s">
        <v>171</v>
      </c>
      <c r="C45" s="15" t="s">
        <v>81</v>
      </c>
      <c r="D45" s="15" t="s">
        <v>164</v>
      </c>
      <c r="E45" s="15"/>
      <c r="F45" s="15"/>
      <c r="G45" s="15" t="s">
        <v>83</v>
      </c>
      <c r="H45" s="15" t="s">
        <v>81</v>
      </c>
      <c r="I45" s="15" t="s">
        <v>81</v>
      </c>
      <c r="J45" s="15" t="s">
        <v>158</v>
      </c>
      <c r="K45" s="15">
        <v>0</v>
      </c>
      <c r="L45" s="15">
        <v>1</v>
      </c>
      <c r="M45" s="15">
        <v>0</v>
      </c>
      <c r="N45" s="15">
        <v>1</v>
      </c>
      <c r="O45" s="15">
        <v>456</v>
      </c>
      <c r="P45" s="15" t="b">
        <v>1</v>
      </c>
      <c r="Q45" s="15" t="s">
        <v>172</v>
      </c>
      <c r="R45" s="15"/>
    </row>
    <row r="46" spans="1:18">
      <c r="A46" s="15">
        <v>34</v>
      </c>
      <c r="B46" s="15" t="s">
        <v>173</v>
      </c>
      <c r="C46" s="15" t="s">
        <v>81</v>
      </c>
      <c r="D46" s="15" t="s">
        <v>161</v>
      </c>
      <c r="E46" s="15"/>
      <c r="F46" s="15" t="s">
        <v>174</v>
      </c>
      <c r="G46" s="15" t="s">
        <v>83</v>
      </c>
      <c r="H46" s="15" t="s">
        <v>84</v>
      </c>
      <c r="I46" s="15" t="s">
        <v>81</v>
      </c>
      <c r="J46" s="15" t="s">
        <v>158</v>
      </c>
      <c r="K46" s="15">
        <v>0</v>
      </c>
      <c r="L46" s="15">
        <v>1</v>
      </c>
      <c r="M46" s="15">
        <v>0</v>
      </c>
      <c r="N46" s="15">
        <v>1</v>
      </c>
      <c r="O46" s="15">
        <v>460</v>
      </c>
      <c r="P46" s="15" t="b">
        <v>1</v>
      </c>
      <c r="Q46" s="16" t="s">
        <v>175</v>
      </c>
      <c r="R46" s="15"/>
    </row>
    <row r="47" spans="1:18">
      <c r="A47" s="15">
        <v>35</v>
      </c>
      <c r="B47" s="15" t="s">
        <v>176</v>
      </c>
      <c r="C47" s="15" t="s">
        <v>81</v>
      </c>
      <c r="D47" s="15" t="s">
        <v>161</v>
      </c>
      <c r="E47" s="15"/>
      <c r="F47" s="15" t="s">
        <v>177</v>
      </c>
      <c r="G47" s="15" t="s">
        <v>83</v>
      </c>
      <c r="H47" s="15" t="s">
        <v>88</v>
      </c>
      <c r="I47" s="15" t="s">
        <v>81</v>
      </c>
      <c r="J47" s="15" t="s">
        <v>158</v>
      </c>
      <c r="K47" s="15">
        <v>0</v>
      </c>
      <c r="L47" s="15">
        <v>1</v>
      </c>
      <c r="M47" s="15">
        <v>0</v>
      </c>
      <c r="N47" s="15">
        <v>1</v>
      </c>
      <c r="O47" s="15">
        <v>461</v>
      </c>
      <c r="P47" s="15" t="b">
        <v>1</v>
      </c>
      <c r="Q47" s="16" t="s">
        <v>178</v>
      </c>
      <c r="R47" s="15"/>
    </row>
    <row r="48" spans="1:18">
      <c r="A48" s="15">
        <v>36</v>
      </c>
      <c r="B48" s="15" t="s">
        <v>179</v>
      </c>
      <c r="C48" s="15" t="s">
        <v>81</v>
      </c>
      <c r="D48" s="15" t="s">
        <v>161</v>
      </c>
      <c r="E48" s="15"/>
      <c r="F48" s="15" t="s">
        <v>180</v>
      </c>
      <c r="G48" s="15" t="s">
        <v>83</v>
      </c>
      <c r="H48" s="15" t="s">
        <v>92</v>
      </c>
      <c r="I48" s="15" t="s">
        <v>81</v>
      </c>
      <c r="J48" s="15" t="s">
        <v>158</v>
      </c>
      <c r="K48" s="15">
        <v>0</v>
      </c>
      <c r="L48" s="15">
        <v>1</v>
      </c>
      <c r="M48" s="15">
        <v>0</v>
      </c>
      <c r="N48" s="15">
        <v>1</v>
      </c>
      <c r="O48" s="15">
        <v>462</v>
      </c>
      <c r="P48" s="15" t="b">
        <v>1</v>
      </c>
      <c r="Q48" s="16" t="s">
        <v>181</v>
      </c>
      <c r="R48" s="15"/>
    </row>
    <row r="49" spans="1:18">
      <c r="A49" s="15">
        <v>47</v>
      </c>
      <c r="B49" s="15" t="s">
        <v>182</v>
      </c>
      <c r="C49" s="15" t="s">
        <v>81</v>
      </c>
      <c r="D49" s="15" t="s">
        <v>164</v>
      </c>
      <c r="E49" s="15"/>
      <c r="F49" s="15" t="s">
        <v>183</v>
      </c>
      <c r="G49" s="15" t="s">
        <v>83</v>
      </c>
      <c r="H49" s="15" t="s">
        <v>81</v>
      </c>
      <c r="I49" s="15" t="s">
        <v>81</v>
      </c>
      <c r="J49" s="15" t="s">
        <v>158</v>
      </c>
      <c r="K49" s="15">
        <v>0</v>
      </c>
      <c r="L49" s="15">
        <v>1</v>
      </c>
      <c r="M49" s="15">
        <v>0</v>
      </c>
      <c r="N49" s="15">
        <v>1</v>
      </c>
      <c r="O49" s="15">
        <v>470</v>
      </c>
      <c r="P49" s="15" t="b">
        <v>0</v>
      </c>
      <c r="Q49" s="15" t="s">
        <v>184</v>
      </c>
      <c r="R49" s="15" t="s">
        <v>185</v>
      </c>
    </row>
    <row r="50" spans="1:18">
      <c r="A50" s="15">
        <v>48</v>
      </c>
      <c r="B50" s="15" t="s">
        <v>186</v>
      </c>
      <c r="C50" s="15" t="s">
        <v>81</v>
      </c>
      <c r="D50" s="15" t="s">
        <v>164</v>
      </c>
      <c r="E50" s="15"/>
      <c r="F50" s="15" t="s">
        <v>187</v>
      </c>
      <c r="G50" s="15" t="s">
        <v>83</v>
      </c>
      <c r="H50" s="15" t="s">
        <v>81</v>
      </c>
      <c r="I50" s="15" t="s">
        <v>81</v>
      </c>
      <c r="J50" s="15" t="s">
        <v>158</v>
      </c>
      <c r="K50" s="15">
        <v>0</v>
      </c>
      <c r="L50" s="15">
        <v>1</v>
      </c>
      <c r="M50" s="15">
        <v>0</v>
      </c>
      <c r="N50" s="15">
        <v>1</v>
      </c>
      <c r="O50" s="15">
        <v>471</v>
      </c>
      <c r="P50" s="15" t="b">
        <v>0</v>
      </c>
      <c r="Q50" s="15" t="s">
        <v>188</v>
      </c>
      <c r="R50" s="15" t="s">
        <v>114</v>
      </c>
    </row>
  </sheetData>
  <autoFilter ref="A1:R1" xr:uid="{7C485614-A5BE-4FB7-B2E6-807540769775}">
    <sortState xmlns:xlrd2="http://schemas.microsoft.com/office/spreadsheetml/2017/richdata2" ref="A2:R50">
      <sortCondition ref="O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17</v>
      </c>
      <c r="B1" t="s">
        <v>189</v>
      </c>
    </row>
    <row r="2" spans="1:2">
      <c r="A2" t="s">
        <v>84</v>
      </c>
      <c r="B2">
        <v>1000</v>
      </c>
    </row>
    <row r="3" spans="1:2">
      <c r="A3" t="s">
        <v>88</v>
      </c>
      <c r="B3">
        <v>1000</v>
      </c>
    </row>
    <row r="4" spans="1:2">
      <c r="A4" t="s">
        <v>92</v>
      </c>
      <c r="B4">
        <v>1000</v>
      </c>
    </row>
    <row r="5" spans="1:2">
      <c r="A5" t="s">
        <v>96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17"/>
  <sheetViews>
    <sheetView workbookViewId="0">
      <selection activeCell="D24" sqref="D24"/>
    </sheetView>
  </sheetViews>
  <sheetFormatPr defaultRowHeight="16.5"/>
  <cols>
    <col min="1" max="1" width="9" style="1"/>
    <col min="2" max="2" width="22" style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190</v>
      </c>
      <c r="B1" s="1" t="s">
        <v>191</v>
      </c>
      <c r="C1" s="1" t="s">
        <v>17</v>
      </c>
      <c r="D1" s="1" t="s">
        <v>26</v>
      </c>
      <c r="E1" s="1" t="s">
        <v>192</v>
      </c>
      <c r="F1" s="1" t="s">
        <v>11</v>
      </c>
      <c r="G1" s="1" t="s">
        <v>145</v>
      </c>
      <c r="H1" s="1" t="s">
        <v>193</v>
      </c>
    </row>
    <row r="2" spans="1:8">
      <c r="A2" s="1">
        <v>1</v>
      </c>
      <c r="B2" s="1" t="s">
        <v>194</v>
      </c>
      <c r="C2" s="1" t="s">
        <v>84</v>
      </c>
      <c r="D2" s="1" t="s">
        <v>195</v>
      </c>
      <c r="E2" s="1" t="s">
        <v>167</v>
      </c>
      <c r="F2" s="11" t="s">
        <v>196</v>
      </c>
      <c r="G2" s="1">
        <v>16000</v>
      </c>
      <c r="H2" s="1">
        <v>1</v>
      </c>
    </row>
    <row r="3" spans="1:8">
      <c r="A3" s="1">
        <v>2</v>
      </c>
      <c r="B3" s="1" t="s">
        <v>197</v>
      </c>
      <c r="C3" s="1" t="s">
        <v>84</v>
      </c>
      <c r="D3" s="1" t="s">
        <v>198</v>
      </c>
      <c r="E3" s="1" t="s">
        <v>189</v>
      </c>
      <c r="F3" s="1" t="s">
        <v>199</v>
      </c>
      <c r="G3" s="1">
        <v>100</v>
      </c>
      <c r="H3" s="1">
        <v>2</v>
      </c>
    </row>
    <row r="4" spans="1:8">
      <c r="A4" s="1">
        <v>3</v>
      </c>
      <c r="B4" s="1" t="s">
        <v>200</v>
      </c>
      <c r="C4" s="1" t="s">
        <v>84</v>
      </c>
      <c r="D4" s="1" t="s">
        <v>201</v>
      </c>
      <c r="E4" s="1" t="s">
        <v>167</v>
      </c>
      <c r="F4" s="1" t="s">
        <v>202</v>
      </c>
      <c r="G4" s="1">
        <v>100</v>
      </c>
      <c r="H4" s="1">
        <v>3</v>
      </c>
    </row>
    <row r="5" spans="1:8">
      <c r="A5" s="1">
        <v>4</v>
      </c>
      <c r="B5" s="1" t="s">
        <v>203</v>
      </c>
      <c r="C5" s="1" t="s">
        <v>84</v>
      </c>
      <c r="D5" s="1" t="s">
        <v>204</v>
      </c>
      <c r="E5" s="1" t="s">
        <v>167</v>
      </c>
      <c r="F5" s="1" t="s">
        <v>118</v>
      </c>
      <c r="G5" s="1">
        <v>100</v>
      </c>
      <c r="H5" s="1">
        <v>4</v>
      </c>
    </row>
    <row r="6" spans="1:8">
      <c r="A6" s="1">
        <v>5</v>
      </c>
      <c r="B6" s="1" t="s">
        <v>205</v>
      </c>
      <c r="C6" s="1" t="s">
        <v>84</v>
      </c>
      <c r="E6" s="1" t="s">
        <v>189</v>
      </c>
      <c r="F6" s="1" t="s">
        <v>127</v>
      </c>
      <c r="G6" s="1">
        <v>100</v>
      </c>
      <c r="H6" s="1">
        <v>5</v>
      </c>
    </row>
    <row r="7" spans="1:8">
      <c r="A7" s="1">
        <v>6</v>
      </c>
      <c r="B7" s="1" t="s">
        <v>206</v>
      </c>
      <c r="C7" s="1" t="s">
        <v>84</v>
      </c>
      <c r="E7" s="1" t="s">
        <v>207</v>
      </c>
      <c r="F7" s="1" t="s">
        <v>208</v>
      </c>
      <c r="G7" s="1">
        <v>3</v>
      </c>
      <c r="H7" s="1">
        <v>6</v>
      </c>
    </row>
    <row r="8" spans="1:8">
      <c r="A8" s="1">
        <v>7</v>
      </c>
      <c r="B8" s="1" t="s">
        <v>209</v>
      </c>
      <c r="C8" s="1" t="s">
        <v>84</v>
      </c>
      <c r="E8" s="1" t="s">
        <v>189</v>
      </c>
      <c r="F8" s="1" t="s">
        <v>130</v>
      </c>
      <c r="G8" s="1">
        <v>10000</v>
      </c>
      <c r="H8" s="1">
        <v>7</v>
      </c>
    </row>
    <row r="9" spans="1:8">
      <c r="A9" s="1">
        <v>8</v>
      </c>
      <c r="B9" s="1" t="s">
        <v>210</v>
      </c>
      <c r="C9" s="1" t="s">
        <v>84</v>
      </c>
      <c r="E9" s="1" t="s">
        <v>83</v>
      </c>
      <c r="H9" s="1">
        <v>8</v>
      </c>
    </row>
    <row r="10" spans="1:8">
      <c r="A10" s="1">
        <v>9</v>
      </c>
      <c r="B10" s="1" t="s">
        <v>211</v>
      </c>
      <c r="C10" s="1" t="s">
        <v>96</v>
      </c>
      <c r="D10" s="2" t="s">
        <v>212</v>
      </c>
      <c r="E10" s="1" t="s">
        <v>83</v>
      </c>
      <c r="H10" s="1">
        <v>1</v>
      </c>
    </row>
    <row r="11" spans="1:8">
      <c r="A11" s="1">
        <v>10</v>
      </c>
      <c r="B11" s="1" t="s">
        <v>213</v>
      </c>
      <c r="C11" s="1" t="s">
        <v>96</v>
      </c>
      <c r="D11" s="1" t="s">
        <v>214</v>
      </c>
      <c r="E11" s="1" t="s">
        <v>83</v>
      </c>
      <c r="H11" s="1">
        <v>2</v>
      </c>
    </row>
    <row r="12" spans="1:8">
      <c r="A12" s="1">
        <v>11</v>
      </c>
      <c r="B12" s="1" t="s">
        <v>197</v>
      </c>
      <c r="C12" s="1" t="s">
        <v>96</v>
      </c>
      <c r="D12" s="1" t="s">
        <v>215</v>
      </c>
      <c r="E12" s="1" t="s">
        <v>189</v>
      </c>
      <c r="F12" s="1" t="s">
        <v>199</v>
      </c>
      <c r="G12" s="1">
        <v>1000</v>
      </c>
      <c r="H12" s="1">
        <v>3</v>
      </c>
    </row>
    <row r="13" spans="1:8">
      <c r="A13" s="1">
        <v>12</v>
      </c>
      <c r="B13" s="1" t="s">
        <v>216</v>
      </c>
      <c r="C13" s="1" t="s">
        <v>96</v>
      </c>
      <c r="D13" s="1" t="s">
        <v>217</v>
      </c>
      <c r="E13" s="1" t="s">
        <v>207</v>
      </c>
      <c r="F13" s="1" t="s">
        <v>208</v>
      </c>
      <c r="G13" s="1">
        <v>3</v>
      </c>
      <c r="H13" s="1">
        <v>4</v>
      </c>
    </row>
    <row r="14" spans="1:8">
      <c r="A14" s="1">
        <v>13</v>
      </c>
      <c r="B14" s="1" t="s">
        <v>218</v>
      </c>
      <c r="C14" s="1" t="s">
        <v>96</v>
      </c>
      <c r="D14" s="1" t="s">
        <v>219</v>
      </c>
      <c r="E14" s="1" t="s">
        <v>189</v>
      </c>
      <c r="F14" s="1" t="s">
        <v>127</v>
      </c>
      <c r="G14" s="1">
        <v>1000</v>
      </c>
      <c r="H14" s="1">
        <v>5</v>
      </c>
    </row>
    <row r="15" spans="1:8">
      <c r="A15" s="1">
        <v>14</v>
      </c>
      <c r="B15" s="1" t="s">
        <v>220</v>
      </c>
      <c r="C15" s="1" t="s">
        <v>96</v>
      </c>
      <c r="D15" s="1" t="s">
        <v>221</v>
      </c>
      <c r="E15" s="1" t="s">
        <v>207</v>
      </c>
      <c r="F15" s="1" t="s">
        <v>208</v>
      </c>
      <c r="G15" s="1">
        <v>0</v>
      </c>
      <c r="H15" s="1">
        <v>6</v>
      </c>
    </row>
    <row r="16" spans="1:8">
      <c r="A16" s="1">
        <v>15</v>
      </c>
      <c r="B16" s="1" t="s">
        <v>222</v>
      </c>
      <c r="C16" s="1" t="s">
        <v>96</v>
      </c>
      <c r="D16" s="1" t="s">
        <v>223</v>
      </c>
      <c r="E16" s="1" t="s">
        <v>189</v>
      </c>
      <c r="F16" s="1" t="s">
        <v>130</v>
      </c>
      <c r="H16" s="1">
        <v>7</v>
      </c>
    </row>
    <row r="17" spans="1:8">
      <c r="A17" s="1">
        <v>16</v>
      </c>
      <c r="B17" s="1" t="s">
        <v>224</v>
      </c>
      <c r="C17" s="1" t="s">
        <v>96</v>
      </c>
      <c r="E17" s="1" t="s">
        <v>83</v>
      </c>
      <c r="H17" s="1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225</v>
      </c>
      <c r="B2" t="s">
        <v>191</v>
      </c>
      <c r="C2" t="s">
        <v>17</v>
      </c>
      <c r="D2" t="s">
        <v>189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18"/>
  <sheetViews>
    <sheetView workbookViewId="0">
      <selection activeCell="D27" sqref="D27:E28"/>
    </sheetView>
  </sheetViews>
  <sheetFormatPr defaultRowHeight="16.5"/>
  <cols>
    <col min="1" max="1" width="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226</v>
      </c>
      <c r="B1" s="3" t="s">
        <v>14</v>
      </c>
      <c r="C1" s="3" t="s">
        <v>227</v>
      </c>
      <c r="D1" s="3" t="s">
        <v>228</v>
      </c>
      <c r="E1" s="3" t="s">
        <v>229</v>
      </c>
      <c r="F1" s="5" t="s">
        <v>230</v>
      </c>
      <c r="G1" s="3" t="s">
        <v>231</v>
      </c>
      <c r="H1" s="3" t="s">
        <v>26</v>
      </c>
      <c r="I1" s="3" t="s">
        <v>27</v>
      </c>
    </row>
    <row r="2" spans="1:9">
      <c r="A2" s="1" t="s">
        <v>232</v>
      </c>
      <c r="B2" s="1" t="s">
        <v>233</v>
      </c>
      <c r="C2" s="1" t="s">
        <v>234</v>
      </c>
      <c r="D2" s="1" t="s">
        <v>235</v>
      </c>
      <c r="E2" s="1" t="s">
        <v>236</v>
      </c>
      <c r="F2" s="6">
        <f>175241*4</f>
        <v>700964</v>
      </c>
      <c r="G2" s="7" t="s">
        <v>237</v>
      </c>
      <c r="H2" s="1" t="s">
        <v>238</v>
      </c>
      <c r="I2" s="1" t="s">
        <v>239</v>
      </c>
    </row>
    <row r="3" spans="1:9">
      <c r="A3" s="1" t="s">
        <v>240</v>
      </c>
      <c r="B3" s="1" t="s">
        <v>241</v>
      </c>
      <c r="C3" s="1"/>
      <c r="D3" s="1" t="s">
        <v>242</v>
      </c>
      <c r="E3" s="1" t="s">
        <v>243</v>
      </c>
      <c r="F3" s="6">
        <v>237420</v>
      </c>
      <c r="G3" s="8" t="s">
        <v>244</v>
      </c>
      <c r="H3" s="1" t="s">
        <v>245</v>
      </c>
      <c r="I3" s="1" t="s">
        <v>239</v>
      </c>
    </row>
    <row r="4" spans="1:9">
      <c r="A4" s="1" t="s">
        <v>246</v>
      </c>
      <c r="B4" s="1" t="s">
        <v>233</v>
      </c>
      <c r="C4" s="1" t="s">
        <v>234</v>
      </c>
      <c r="D4" s="1"/>
      <c r="E4" s="1" t="s">
        <v>247</v>
      </c>
      <c r="F4" s="6">
        <v>509000</v>
      </c>
      <c r="G4" s="8" t="s">
        <v>248</v>
      </c>
      <c r="H4" s="1" t="s">
        <v>249</v>
      </c>
      <c r="I4" s="1" t="s">
        <v>239</v>
      </c>
    </row>
    <row r="5" spans="1:9">
      <c r="A5" s="1" t="s">
        <v>250</v>
      </c>
      <c r="B5" s="1" t="s">
        <v>233</v>
      </c>
      <c r="C5" s="1" t="s">
        <v>234</v>
      </c>
      <c r="D5" s="1"/>
      <c r="E5" s="1" t="s">
        <v>247</v>
      </c>
      <c r="F5" s="6"/>
      <c r="G5" s="1"/>
      <c r="H5" s="1" t="s">
        <v>251</v>
      </c>
      <c r="I5" s="1" t="s">
        <v>252</v>
      </c>
    </row>
    <row r="6" spans="1:9" ht="33">
      <c r="A6" s="1" t="s">
        <v>253</v>
      </c>
      <c r="B6" s="1" t="s">
        <v>233</v>
      </c>
      <c r="C6" s="1" t="s">
        <v>234</v>
      </c>
      <c r="D6" s="1"/>
      <c r="E6" s="1" t="s">
        <v>254</v>
      </c>
      <c r="F6" s="6"/>
      <c r="G6" s="1"/>
      <c r="H6" s="1" t="s">
        <v>255</v>
      </c>
      <c r="I6" s="2" t="s">
        <v>256</v>
      </c>
    </row>
    <row r="7" spans="1:9">
      <c r="A7" s="1" t="s">
        <v>257</v>
      </c>
      <c r="B7" s="1" t="s">
        <v>233</v>
      </c>
      <c r="C7" s="1" t="s">
        <v>234</v>
      </c>
      <c r="D7" s="1"/>
      <c r="E7" s="1" t="s">
        <v>258</v>
      </c>
      <c r="F7" s="6"/>
      <c r="G7" s="1"/>
      <c r="H7" s="1" t="s">
        <v>259</v>
      </c>
      <c r="I7" s="1"/>
    </row>
    <row r="8" spans="1:9">
      <c r="A8" s="1" t="s">
        <v>260</v>
      </c>
      <c r="B8" s="1" t="s">
        <v>233</v>
      </c>
      <c r="C8" s="1" t="s">
        <v>234</v>
      </c>
      <c r="D8" s="1"/>
      <c r="E8" s="1" t="s">
        <v>258</v>
      </c>
      <c r="F8" s="6">
        <v>85000</v>
      </c>
      <c r="G8" s="9" t="s">
        <v>261</v>
      </c>
      <c r="H8" s="1" t="s">
        <v>262</v>
      </c>
      <c r="I8" s="1"/>
    </row>
    <row r="9" spans="1:9">
      <c r="A9" s="1" t="s">
        <v>263</v>
      </c>
      <c r="B9" s="1"/>
      <c r="C9" s="1" t="s">
        <v>264</v>
      </c>
      <c r="D9" s="1"/>
      <c r="E9" s="1" t="s">
        <v>258</v>
      </c>
      <c r="F9" s="6">
        <v>55200</v>
      </c>
      <c r="G9" s="8" t="s">
        <v>265</v>
      </c>
      <c r="H9" s="1" t="s">
        <v>266</v>
      </c>
      <c r="I9" s="1"/>
    </row>
    <row r="10" spans="1:9" ht="33">
      <c r="A10" s="1" t="s">
        <v>267</v>
      </c>
      <c r="B10" s="1"/>
      <c r="C10" s="1"/>
      <c r="D10" s="1"/>
      <c r="E10" s="1" t="s">
        <v>258</v>
      </c>
      <c r="F10" s="6"/>
      <c r="G10" s="1"/>
      <c r="H10" s="1" t="s">
        <v>268</v>
      </c>
      <c r="I10" s="2" t="s">
        <v>269</v>
      </c>
    </row>
    <row r="11" spans="1:9">
      <c r="A11" s="1" t="s">
        <v>270</v>
      </c>
      <c r="B11" s="1" t="s">
        <v>271</v>
      </c>
      <c r="C11" s="1" t="s">
        <v>272</v>
      </c>
      <c r="D11" s="1" t="s">
        <v>273</v>
      </c>
      <c r="E11" s="1" t="s">
        <v>258</v>
      </c>
      <c r="F11" s="6"/>
      <c r="G11" s="8" t="s">
        <v>274</v>
      </c>
      <c r="H11" s="1" t="s">
        <v>275</v>
      </c>
      <c r="I11" s="1" t="s">
        <v>276</v>
      </c>
    </row>
    <row r="12" spans="1:9">
      <c r="A12" s="1" t="s">
        <v>277</v>
      </c>
      <c r="B12" s="10" t="s">
        <v>278</v>
      </c>
      <c r="C12" s="1" t="s">
        <v>279</v>
      </c>
      <c r="D12" s="1" t="s">
        <v>280</v>
      </c>
      <c r="E12" s="1" t="s">
        <v>236</v>
      </c>
      <c r="F12" s="6">
        <f>6700*4</f>
        <v>26800</v>
      </c>
      <c r="G12" s="7" t="s">
        <v>281</v>
      </c>
      <c r="H12" s="1" t="s">
        <v>282</v>
      </c>
      <c r="I12" s="1" t="s">
        <v>239</v>
      </c>
    </row>
    <row r="13" spans="1:9">
      <c r="A13" s="1" t="s">
        <v>283</v>
      </c>
      <c r="B13" s="1" t="s">
        <v>284</v>
      </c>
      <c r="C13" s="1" t="s">
        <v>285</v>
      </c>
      <c r="D13" s="1" t="s">
        <v>286</v>
      </c>
      <c r="E13" s="1" t="s">
        <v>258</v>
      </c>
      <c r="F13" s="6">
        <v>2464000</v>
      </c>
      <c r="G13" s="8" t="s">
        <v>287</v>
      </c>
      <c r="H13" s="1" t="s">
        <v>288</v>
      </c>
      <c r="I13" s="1"/>
    </row>
    <row r="14" spans="1:9" ht="33">
      <c r="A14" s="1" t="s">
        <v>289</v>
      </c>
      <c r="B14" s="2" t="s">
        <v>290</v>
      </c>
      <c r="C14" s="1"/>
      <c r="D14" s="1" t="s">
        <v>291</v>
      </c>
      <c r="E14" s="1" t="s">
        <v>258</v>
      </c>
      <c r="F14" s="6">
        <v>230989</v>
      </c>
      <c r="G14" s="8" t="s">
        <v>292</v>
      </c>
      <c r="H14" s="1" t="s">
        <v>293</v>
      </c>
      <c r="I14" s="1"/>
    </row>
    <row r="16" spans="1:9">
      <c r="D16" t="s">
        <v>294</v>
      </c>
    </row>
    <row r="18" spans="1:9">
      <c r="A18" t="s">
        <v>295</v>
      </c>
      <c r="C18" t="s">
        <v>296</v>
      </c>
      <c r="D18" s="12" t="s">
        <v>297</v>
      </c>
      <c r="E18" t="s">
        <v>258</v>
      </c>
      <c r="F18" s="4">
        <v>311300</v>
      </c>
      <c r="G18" s="13" t="s">
        <v>298</v>
      </c>
      <c r="H18" t="s">
        <v>299</v>
      </c>
      <c r="I18" t="s">
        <v>300</v>
      </c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23" workbookViewId="0">
      <selection activeCell="F55" sqref="F55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5" t="s">
        <v>301</v>
      </c>
      <c r="B1" s="46" t="s">
        <v>302</v>
      </c>
      <c r="C1" s="47" t="s">
        <v>303</v>
      </c>
      <c r="D1" s="48" t="s">
        <v>304</v>
      </c>
    </row>
    <row r="2" spans="1:4">
      <c r="A2" s="53" t="s">
        <v>305</v>
      </c>
      <c r="B2" s="18" t="s">
        <v>306</v>
      </c>
      <c r="C2" s="19">
        <v>10000000</v>
      </c>
      <c r="D2" s="54">
        <v>18960000</v>
      </c>
    </row>
    <row r="3" spans="1:4">
      <c r="A3" s="53"/>
      <c r="B3" s="20" t="s">
        <v>307</v>
      </c>
      <c r="C3" s="21">
        <v>2000000</v>
      </c>
      <c r="D3" s="55"/>
    </row>
    <row r="4" spans="1:4">
      <c r="A4" s="53"/>
      <c r="B4" s="20" t="s">
        <v>308</v>
      </c>
      <c r="C4" s="21">
        <v>1200000</v>
      </c>
      <c r="D4" s="55"/>
    </row>
    <row r="5" spans="1:4">
      <c r="A5" s="53"/>
      <c r="B5" s="20" t="s">
        <v>309</v>
      </c>
      <c r="C5" s="21">
        <v>800000</v>
      </c>
      <c r="D5" s="55"/>
    </row>
    <row r="6" spans="1:4">
      <c r="A6" s="53"/>
      <c r="B6" s="20" t="s">
        <v>310</v>
      </c>
      <c r="C6" s="21">
        <v>400000</v>
      </c>
      <c r="D6" s="55"/>
    </row>
    <row r="7" spans="1:4">
      <c r="A7" s="53"/>
      <c r="B7" s="20" t="s">
        <v>311</v>
      </c>
      <c r="C7" s="21">
        <v>1000000</v>
      </c>
      <c r="D7" s="55"/>
    </row>
    <row r="8" spans="1:4">
      <c r="A8" s="53"/>
      <c r="B8" s="20" t="s">
        <v>312</v>
      </c>
      <c r="C8" s="22" t="s">
        <v>313</v>
      </c>
      <c r="D8" s="55"/>
    </row>
    <row r="9" spans="1:4">
      <c r="A9" s="53"/>
      <c r="B9" s="20" t="s">
        <v>314</v>
      </c>
      <c r="C9" s="21">
        <v>3500000</v>
      </c>
      <c r="D9" s="55"/>
    </row>
    <row r="10" spans="1:4">
      <c r="A10" s="53"/>
      <c r="B10" s="20" t="s">
        <v>315</v>
      </c>
      <c r="C10" s="21">
        <v>60000</v>
      </c>
      <c r="D10" s="55"/>
    </row>
    <row r="11" spans="1:4">
      <c r="A11" s="56" t="s">
        <v>316</v>
      </c>
      <c r="B11" s="18" t="s">
        <v>317</v>
      </c>
      <c r="C11" s="23">
        <v>200000</v>
      </c>
      <c r="D11" s="54">
        <v>4380000</v>
      </c>
    </row>
    <row r="12" spans="1:4">
      <c r="A12" s="53"/>
      <c r="B12" s="20" t="s">
        <v>318</v>
      </c>
      <c r="C12" s="21">
        <v>200000</v>
      </c>
      <c r="D12" s="55"/>
    </row>
    <row r="13" spans="1:4">
      <c r="A13" s="53"/>
      <c r="B13" s="20" t="s">
        <v>319</v>
      </c>
      <c r="C13" s="21">
        <v>500000</v>
      </c>
      <c r="D13" s="55"/>
    </row>
    <row r="14" spans="1:4">
      <c r="A14" s="53"/>
      <c r="B14" s="20" t="s">
        <v>320</v>
      </c>
      <c r="C14" s="24">
        <v>500000</v>
      </c>
      <c r="D14" s="55"/>
    </row>
    <row r="15" spans="1:4">
      <c r="A15" s="53"/>
      <c r="B15" s="20" t="s">
        <v>321</v>
      </c>
      <c r="C15" s="24">
        <v>1000000</v>
      </c>
      <c r="D15" s="55"/>
    </row>
    <row r="16" spans="1:4">
      <c r="A16" s="53"/>
      <c r="B16" s="20" t="s">
        <v>322</v>
      </c>
      <c r="C16" s="24">
        <v>1000000</v>
      </c>
      <c r="D16" s="55"/>
    </row>
    <row r="17" spans="1:4">
      <c r="A17" s="53"/>
      <c r="B17" s="20" t="s">
        <v>323</v>
      </c>
      <c r="C17" s="24">
        <v>1850000</v>
      </c>
      <c r="D17" s="55"/>
    </row>
    <row r="18" spans="1:4">
      <c r="A18" s="53"/>
      <c r="B18" s="20" t="s">
        <v>324</v>
      </c>
      <c r="C18" s="24">
        <v>300000</v>
      </c>
      <c r="D18" s="55"/>
    </row>
    <row r="19" spans="1:4">
      <c r="A19" s="53"/>
      <c r="B19" s="20" t="s">
        <v>325</v>
      </c>
      <c r="C19" s="25" t="s">
        <v>326</v>
      </c>
      <c r="D19" s="55"/>
    </row>
    <row r="20" spans="1:4">
      <c r="A20" s="53"/>
      <c r="B20" s="20" t="s">
        <v>327</v>
      </c>
      <c r="C20" s="21">
        <v>200000</v>
      </c>
      <c r="D20" s="55"/>
    </row>
    <row r="21" spans="1:4">
      <c r="A21" s="53"/>
      <c r="B21" s="20" t="s">
        <v>328</v>
      </c>
      <c r="C21" s="21">
        <v>1200000</v>
      </c>
      <c r="D21" s="55"/>
    </row>
    <row r="22" spans="1:4">
      <c r="A22" s="53"/>
      <c r="B22" s="20" t="s">
        <v>329</v>
      </c>
      <c r="C22" s="21">
        <v>30000</v>
      </c>
      <c r="D22" s="55"/>
    </row>
    <row r="23" spans="1:4">
      <c r="A23" s="53"/>
      <c r="B23" s="20" t="s">
        <v>330</v>
      </c>
      <c r="C23" s="21">
        <v>450000</v>
      </c>
      <c r="D23" s="55"/>
    </row>
    <row r="24" spans="1:4">
      <c r="A24" s="53"/>
      <c r="B24" s="20" t="s">
        <v>331</v>
      </c>
      <c r="C24" s="21">
        <v>450000</v>
      </c>
      <c r="D24" s="55"/>
    </row>
    <row r="25" spans="1:4">
      <c r="A25" s="53"/>
      <c r="B25" s="20" t="s">
        <v>332</v>
      </c>
      <c r="C25" s="21">
        <v>50000</v>
      </c>
      <c r="D25" s="55"/>
    </row>
    <row r="26" spans="1:4">
      <c r="A26" s="53"/>
      <c r="B26" s="20" t="s">
        <v>333</v>
      </c>
      <c r="C26" s="21">
        <v>100000</v>
      </c>
      <c r="D26" s="55"/>
    </row>
    <row r="27" spans="1:4">
      <c r="A27" s="53"/>
      <c r="B27" s="20" t="s">
        <v>334</v>
      </c>
      <c r="C27" s="21">
        <v>500000</v>
      </c>
      <c r="D27" s="55"/>
    </row>
    <row r="28" spans="1:4">
      <c r="A28" s="57"/>
      <c r="B28" s="26" t="s">
        <v>335</v>
      </c>
      <c r="C28" s="27">
        <v>700000</v>
      </c>
      <c r="D28" s="58"/>
    </row>
    <row r="29" spans="1:4">
      <c r="A29" s="56" t="s">
        <v>336</v>
      </c>
      <c r="B29" s="20" t="s">
        <v>337</v>
      </c>
      <c r="C29" s="21">
        <v>1200000</v>
      </c>
      <c r="D29" s="59">
        <v>6900000</v>
      </c>
    </row>
    <row r="30" spans="1:4">
      <c r="A30" s="53"/>
      <c r="B30" s="20" t="s">
        <v>338</v>
      </c>
      <c r="C30" s="21">
        <v>550000</v>
      </c>
      <c r="D30" s="55"/>
    </row>
    <row r="31" spans="1:4">
      <c r="A31" s="53"/>
      <c r="B31" s="20" t="s">
        <v>339</v>
      </c>
      <c r="C31" s="21">
        <v>1200000</v>
      </c>
      <c r="D31" s="55"/>
    </row>
    <row r="32" spans="1:4">
      <c r="A32" s="53"/>
      <c r="B32" s="20" t="s">
        <v>340</v>
      </c>
      <c r="C32" s="21">
        <v>450000</v>
      </c>
      <c r="D32" s="55"/>
    </row>
    <row r="33" spans="1:8">
      <c r="A33" s="53"/>
      <c r="B33" s="20" t="s">
        <v>341</v>
      </c>
      <c r="C33" s="21">
        <v>3500000</v>
      </c>
      <c r="D33" s="55"/>
    </row>
    <row r="34" spans="1:8">
      <c r="A34" s="53"/>
      <c r="B34" s="20" t="s">
        <v>342</v>
      </c>
      <c r="C34" s="28">
        <v>300000</v>
      </c>
      <c r="D34" s="55"/>
    </row>
    <row r="35" spans="1:8">
      <c r="A35" s="53"/>
      <c r="B35" s="20" t="s">
        <v>329</v>
      </c>
      <c r="C35" s="28">
        <v>30000</v>
      </c>
      <c r="D35" s="55"/>
    </row>
    <row r="36" spans="1:8">
      <c r="A36" s="57"/>
      <c r="B36" s="26" t="s">
        <v>326</v>
      </c>
      <c r="C36" s="29" t="s">
        <v>326</v>
      </c>
      <c r="D36" s="58"/>
    </row>
    <row r="37" spans="1:8">
      <c r="A37" s="60" t="s">
        <v>343</v>
      </c>
      <c r="B37" s="30" t="s">
        <v>326</v>
      </c>
      <c r="C37" s="31" t="s">
        <v>326</v>
      </c>
      <c r="D37" s="63" t="s">
        <v>326</v>
      </c>
    </row>
    <row r="38" spans="1:8">
      <c r="A38" s="61"/>
      <c r="B38" s="30"/>
      <c r="C38" s="31" t="s">
        <v>326</v>
      </c>
      <c r="D38" s="63"/>
    </row>
    <row r="39" spans="1:8">
      <c r="A39" s="61"/>
      <c r="B39" s="30"/>
      <c r="C39" s="31" t="s">
        <v>326</v>
      </c>
      <c r="D39" s="63"/>
    </row>
    <row r="40" spans="1:8">
      <c r="A40" s="61"/>
      <c r="B40" s="30"/>
      <c r="C40" s="31" t="s">
        <v>326</v>
      </c>
      <c r="D40" s="63"/>
    </row>
    <row r="41" spans="1:8">
      <c r="A41" s="61"/>
      <c r="B41" s="30"/>
      <c r="C41" s="31" t="s">
        <v>326</v>
      </c>
      <c r="D41" s="63"/>
    </row>
    <row r="42" spans="1:8">
      <c r="A42" s="62"/>
      <c r="B42" s="32" t="s">
        <v>326</v>
      </c>
      <c r="C42" s="33" t="s">
        <v>326</v>
      </c>
      <c r="D42" s="64"/>
    </row>
    <row r="43" spans="1:8">
      <c r="A43" s="56" t="s">
        <v>344</v>
      </c>
      <c r="B43" s="20" t="s">
        <v>345</v>
      </c>
      <c r="C43" s="22" t="s">
        <v>326</v>
      </c>
      <c r="D43" s="59">
        <v>7630000</v>
      </c>
    </row>
    <row r="44" spans="1:8">
      <c r="A44" s="53"/>
      <c r="B44" s="30" t="s">
        <v>346</v>
      </c>
      <c r="C44" s="21">
        <v>1600000</v>
      </c>
      <c r="D44" s="55"/>
    </row>
    <row r="45" spans="1:8">
      <c r="A45" s="53"/>
      <c r="B45" s="30" t="s">
        <v>347</v>
      </c>
      <c r="C45" s="34">
        <v>5000000</v>
      </c>
      <c r="D45" s="55"/>
    </row>
    <row r="46" spans="1:8">
      <c r="A46" s="53"/>
      <c r="B46" s="20" t="s">
        <v>348</v>
      </c>
      <c r="C46" s="21">
        <v>1000000</v>
      </c>
      <c r="D46" s="55"/>
      <c r="F46" t="s">
        <v>348</v>
      </c>
      <c r="H46" s="49" t="s">
        <v>349</v>
      </c>
    </row>
    <row r="47" spans="1:8">
      <c r="A47" s="57"/>
      <c r="B47" s="26" t="s">
        <v>329</v>
      </c>
      <c r="C47" s="27">
        <v>30000</v>
      </c>
      <c r="D47" s="58"/>
      <c r="H47" s="49" t="s">
        <v>350</v>
      </c>
    </row>
    <row r="48" spans="1:8">
      <c r="A48" s="35" t="s">
        <v>351</v>
      </c>
      <c r="B48" s="26" t="s">
        <v>295</v>
      </c>
      <c r="C48" s="27">
        <v>1000000</v>
      </c>
      <c r="D48" s="36">
        <v>1000000</v>
      </c>
      <c r="H48" s="49" t="s">
        <v>352</v>
      </c>
    </row>
    <row r="49" spans="1:4">
      <c r="A49" s="35" t="s">
        <v>353</v>
      </c>
      <c r="B49" s="26" t="s">
        <v>326</v>
      </c>
      <c r="C49" s="37" t="s">
        <v>326</v>
      </c>
      <c r="D49" s="38" t="s">
        <v>313</v>
      </c>
    </row>
    <row r="50" spans="1:4">
      <c r="A50" s="35" t="s">
        <v>354</v>
      </c>
      <c r="B50" s="26" t="s">
        <v>326</v>
      </c>
      <c r="C50" s="29" t="s">
        <v>326</v>
      </c>
      <c r="D50" s="38" t="s">
        <v>326</v>
      </c>
    </row>
    <row r="51" spans="1:4">
      <c r="A51" s="35" t="s">
        <v>355</v>
      </c>
      <c r="B51" s="26" t="s">
        <v>326</v>
      </c>
      <c r="C51" s="29" t="s">
        <v>326</v>
      </c>
      <c r="D51" s="38" t="s">
        <v>326</v>
      </c>
    </row>
    <row r="52" spans="1:4">
      <c r="A52" s="35" t="s">
        <v>356</v>
      </c>
      <c r="B52" s="26" t="s">
        <v>326</v>
      </c>
      <c r="C52" s="39" t="s">
        <v>326</v>
      </c>
      <c r="D52" s="38" t="s">
        <v>326</v>
      </c>
    </row>
    <row r="53" spans="1:4">
      <c r="A53" s="51" t="s">
        <v>326</v>
      </c>
      <c r="B53" s="65"/>
      <c r="C53" s="65"/>
      <c r="D53" s="66"/>
    </row>
    <row r="54" spans="1:4">
      <c r="A54" s="51" t="s">
        <v>326</v>
      </c>
      <c r="B54" s="40" t="s">
        <v>357</v>
      </c>
      <c r="C54" s="18" t="s">
        <v>358</v>
      </c>
      <c r="D54" s="41">
        <v>38870000</v>
      </c>
    </row>
    <row r="55" spans="1:4">
      <c r="A55" s="52"/>
      <c r="B55" s="42" t="s">
        <v>359</v>
      </c>
      <c r="C55" s="43" t="s">
        <v>358</v>
      </c>
      <c r="D55" s="44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A5C0A-123A-482D-9740-A5FEEB670C26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68c09c20-cf94-447c-8c86-a27e8b975351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암모니아 실험 개요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안 현호</cp:lastModifiedBy>
  <cp:revision/>
  <dcterms:created xsi:type="dcterms:W3CDTF">2015-06-05T18:19:34Z</dcterms:created>
  <dcterms:modified xsi:type="dcterms:W3CDTF">2026-05-27T06:47:39Z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