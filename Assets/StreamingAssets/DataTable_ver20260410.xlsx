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WProject\My project\Assets\StreamingAssets\"/>
    </mc:Choice>
  </mc:AlternateContent>
  <xr:revisionPtr revIDLastSave="0" documentId="13_ncr:1_{8EE459D2-C79E-4CF0-B60E-1F72C5EF8FA3}" xr6:coauthVersionLast="47" xr6:coauthVersionMax="47" xr10:uidLastSave="{00000000-0000-0000-0000-000000000000}"/>
  <bookViews>
    <workbookView xWindow="38280" yWindow="-120" windowWidth="29040" windowHeight="15840" firstSheet="1" activeTab="1" xr2:uid="{00000000-000D-0000-FFFF-FFFF00000000}"/>
  </bookViews>
  <sheets>
    <sheet name="암모니아 실험 개요" sheetId="1" r:id="rId1"/>
    <sheet name="IO_List" sheetId="2" r:id="rId2"/>
    <sheet name="ExperimentDefineTable" sheetId="4" r:id="rId3"/>
    <sheet name="ExperimentInfo" sheetId="5" r:id="rId4"/>
    <sheet name="배관 자재 리스트" sheetId="3" r:id="rId5"/>
  </sheets>
  <definedNames>
    <definedName name="_xlnm._FilterDatabase" localSheetId="1" hidden="1">IO_List!$A$1:$R$1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2" i="3"/>
</calcChain>
</file>

<file path=xl/sharedStrings.xml><?xml version="1.0" encoding="utf-8"?>
<sst xmlns="http://schemas.openxmlformats.org/spreadsheetml/2006/main" count="651" uniqueCount="298">
  <si>
    <t>개요</t>
  </si>
  <si>
    <t>(문헌대비)고농도 암모니아 분사조건에서의 Water Spray/Curtain의 차단 효과 확인 및 예측 모델제작을 위한 실험</t>
  </si>
  <si>
    <t>목적</t>
  </si>
  <si>
    <t>암모니아 가스 누출 시 Water curtain에 의한 물리 화학적 차단 효과 확인</t>
  </si>
  <si>
    <t>설계조건(분무량, 노즐타입 등)에 따른 독성 저감 성능 확인</t>
  </si>
  <si>
    <t>Water curtain에 의한 독성 저감 예측 모델 설계 참고 data 확보</t>
  </si>
  <si>
    <t>시뮬레이션 툴(FLACS 등)의 실험 모델과 비교/검증</t>
  </si>
  <si>
    <t>세부 실험 조건 및 목적 협의중 - 세부 협의에 따라 구성  및 실험절차 수정</t>
  </si>
  <si>
    <t>실험절차</t>
  </si>
  <si>
    <t>NO</t>
  </si>
  <si>
    <t>Tag</t>
  </si>
  <si>
    <t>Type</t>
  </si>
  <si>
    <t>Measurement</t>
  </si>
  <si>
    <t>Group</t>
  </si>
  <si>
    <t>System</t>
  </si>
  <si>
    <t>DataType</t>
  </si>
  <si>
    <t>Address</t>
  </si>
  <si>
    <t>Description</t>
  </si>
  <si>
    <t>AT101</t>
  </si>
  <si>
    <t>AI</t>
  </si>
  <si>
    <t>Ammonia</t>
  </si>
  <si>
    <t>Test Bad</t>
  </si>
  <si>
    <t>Int</t>
  </si>
  <si>
    <t>챔버 전단 암모니아 센서</t>
  </si>
  <si>
    <t>AT102</t>
  </si>
  <si>
    <t>챔버 중하단 암모니아 센서</t>
  </si>
  <si>
    <t>AT103</t>
  </si>
  <si>
    <t>챔버 중산단 암모니아 센서</t>
  </si>
  <si>
    <t>AT104</t>
  </si>
  <si>
    <t>챔버 후단 암모니아 센서</t>
  </si>
  <si>
    <t>TT101</t>
  </si>
  <si>
    <t>Temperature</t>
  </si>
  <si>
    <t>외기 온도</t>
  </si>
  <si>
    <t>TT102</t>
  </si>
  <si>
    <t>배출 공기 온도</t>
  </si>
  <si>
    <t>TT202</t>
  </si>
  <si>
    <t>Ammonia Supply</t>
  </si>
  <si>
    <t>암모니아 공급 온도</t>
  </si>
  <si>
    <t>TT301</t>
  </si>
  <si>
    <t>Water Supply</t>
  </si>
  <si>
    <t>Water Supply 온도</t>
  </si>
  <si>
    <t>PT302</t>
  </si>
  <si>
    <t>Pressure</t>
  </si>
  <si>
    <t>Water Supply 압력</t>
  </si>
  <si>
    <t>FT303</t>
  </si>
  <si>
    <t>Flow</t>
  </si>
  <si>
    <t>VF101</t>
  </si>
  <si>
    <t>챔버 내부 풍속계</t>
  </si>
  <si>
    <t>LS401</t>
  </si>
  <si>
    <t>DI</t>
  </si>
  <si>
    <t>Treated Water</t>
  </si>
  <si>
    <t>Bool</t>
  </si>
  <si>
    <t>SV301</t>
  </si>
  <si>
    <t>DO</t>
  </si>
  <si>
    <t>SV302</t>
  </si>
  <si>
    <t>SV303</t>
  </si>
  <si>
    <t>SV301_Status</t>
  </si>
  <si>
    <t>Status</t>
  </si>
  <si>
    <t>SV302_Status</t>
  </si>
  <si>
    <t>PP301</t>
  </si>
  <si>
    <t>AO</t>
  </si>
  <si>
    <t>RPM</t>
  </si>
  <si>
    <t>LP PUMP</t>
  </si>
  <si>
    <t>LP Pump RPM</t>
  </si>
  <si>
    <t>PP302</t>
  </si>
  <si>
    <t>HP PUMP</t>
  </si>
  <si>
    <t>HP Pump RPM</t>
  </si>
  <si>
    <t>FAN101</t>
  </si>
  <si>
    <t>FAN</t>
  </si>
  <si>
    <t>챔버 공기 순환 FAN</t>
  </si>
  <si>
    <t>FC201</t>
  </si>
  <si>
    <t>Monitoring</t>
    <phoneticPr fontId="1" type="noConversion"/>
  </si>
  <si>
    <t>Control</t>
    <phoneticPr fontId="1" type="noConversion"/>
  </si>
  <si>
    <t>Water Supply 유량 2</t>
  </si>
  <si>
    <t>Water Supply 유량 1</t>
  </si>
  <si>
    <t>Note</t>
  </si>
  <si>
    <t>FT304</t>
  </si>
  <si>
    <t>IO List</t>
  </si>
  <si>
    <t>Velocity</t>
  </si>
  <si>
    <t>Useable</t>
  </si>
  <si>
    <t>암모니아 공급 MFC Open Value
Modbus RTU 통신 사용</t>
  </si>
  <si>
    <t>MFC</t>
  </si>
  <si>
    <t>Inverter</t>
  </si>
  <si>
    <t>Treated Water 수위 센서 Low</t>
  </si>
  <si>
    <t>Treated Water 수위 센서 High</t>
  </si>
  <si>
    <t>LS401_High</t>
  </si>
  <si>
    <t>LS401_Low</t>
  </si>
  <si>
    <t>High</t>
  </si>
  <si>
    <t>Low</t>
  </si>
  <si>
    <t>Set</t>
  </si>
  <si>
    <t>Set Opening Position</t>
  </si>
  <si>
    <t>Opening Opsition</t>
  </si>
  <si>
    <t>Intergation</t>
  </si>
  <si>
    <t>FC201_SetPos</t>
  </si>
  <si>
    <t>FC201_Pos</t>
  </si>
  <si>
    <t>FC201_Flow</t>
  </si>
  <si>
    <t>FC201_Inte</t>
  </si>
  <si>
    <t>Experiment</t>
  </si>
  <si>
    <t>None</t>
  </si>
  <si>
    <t>실험 시작 Triger</t>
  </si>
  <si>
    <t>현재 실험 종료</t>
  </si>
  <si>
    <t>실험 재정비 절차 시작</t>
  </si>
  <si>
    <t>FT303_Pulse</t>
  </si>
  <si>
    <t>Monitoring</t>
  </si>
  <si>
    <t>Pulse</t>
  </si>
  <si>
    <t>Water Supply 유량 1 고속 펄스 카운팅</t>
  </si>
  <si>
    <t>PP401</t>
  </si>
  <si>
    <t>Control</t>
  </si>
  <si>
    <t>PP401_Status</t>
  </si>
  <si>
    <t>Digital_A</t>
  </si>
  <si>
    <t>Analog_A</t>
  </si>
  <si>
    <t>Analog_B</t>
  </si>
  <si>
    <t>직입기동 Treated Water Drain Pump</t>
  </si>
  <si>
    <t>Dreain Pump 상태</t>
  </si>
  <si>
    <t>부품</t>
  </si>
  <si>
    <t>규격</t>
  </si>
  <si>
    <t>모델</t>
  </si>
  <si>
    <t>갯수</t>
  </si>
  <si>
    <t>URL</t>
  </si>
  <si>
    <t>커프스</t>
  </si>
  <si>
    <t>직경 300</t>
  </si>
  <si>
    <t>PVC</t>
  </si>
  <si>
    <t>Sealing Strip(트렁크 고무)</t>
  </si>
  <si>
    <t>EPDM</t>
  </si>
  <si>
    <t>EPDM-C</t>
  </si>
  <si>
    <t>길이 8m</t>
  </si>
  <si>
    <t>https://kr.misumi-ec.com/vona2/detail/222000170206/</t>
  </si>
  <si>
    <t>https://kr.misumi-ec.com/vona2/detail/221005339768/?rid=c22_ctg4_6_221005339768&amp;list=RecoCustomersPurchased</t>
  </si>
  <si>
    <t>`</t>
  </si>
  <si>
    <t>4ea</t>
  </si>
  <si>
    <t>AD-2-M-C-R-300</t>
  </si>
  <si>
    <t>Flexible Hose</t>
  </si>
  <si>
    <t>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</t>
  </si>
  <si>
    <t>Pipe 정소켓</t>
  </si>
  <si>
    <t>Pipe 엘보</t>
  </si>
  <si>
    <t>Pipe</t>
  </si>
  <si>
    <t>10m</t>
  </si>
  <si>
    <t>120L</t>
  </si>
  <si>
    <t>Treated Water Tank</t>
  </si>
  <si>
    <t>treated Water Sub-Tank</t>
  </si>
  <si>
    <t>https://www.parantong.com/shop/item.php?it_id=1653895021</t>
  </si>
  <si>
    <t>1ea</t>
  </si>
  <si>
    <t>Level Sensor</t>
  </si>
  <si>
    <t>Floating</t>
  </si>
  <si>
    <t>2접점</t>
  </si>
  <si>
    <t>DF-4P-4S</t>
  </si>
  <si>
    <t>https://dh34.com/products/sensor/level-switch/?mod=document&amp;pageid=1&amp;uid=222#kboard-document+</t>
  </si>
  <si>
    <t>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</t>
  </si>
  <si>
    <t>Ball Valve</t>
  </si>
  <si>
    <t>Manual Valve</t>
  </si>
  <si>
    <t>25A</t>
  </si>
  <si>
    <t>1PC MK</t>
  </si>
  <si>
    <t>5ea</t>
  </si>
  <si>
    <t>Damper</t>
  </si>
  <si>
    <t>https://www.coupang.com/vp/products/8529873745</t>
  </si>
  <si>
    <t>가격</t>
  </si>
  <si>
    <t>300mm 후렉시블 호스 연결용</t>
  </si>
  <si>
    <t>Chamber Window의 이음 부 연결용</t>
  </si>
  <si>
    <t>후렉시블 호스</t>
  </si>
  <si>
    <t>PVC파이프</t>
  </si>
  <si>
    <t>파이프간 연결용 소켓</t>
  </si>
  <si>
    <t>Chamber 전단부 공기 흡입 방향용</t>
  </si>
  <si>
    <t>Chamber 후단 공기 배출 조절용</t>
  </si>
  <si>
    <t>Treated Water Drain Pump Level 조절용</t>
  </si>
  <si>
    <t>Treated Water Main Tank</t>
  </si>
  <si>
    <t>Sub Tank의 Level 확인용</t>
  </si>
  <si>
    <t>Water Supply System Pump 압력 제어용</t>
  </si>
  <si>
    <t>내경이 298mm Pipe를 사용해야함</t>
  </si>
  <si>
    <t>PVC 정소켓에 대한 정보를 찾을 수 없음
자재 공급 시 해당 업체에 문의 해볼것.</t>
  </si>
  <si>
    <t>실험 규모에 따라서 결정
(Water Supply System의 Tank와 비슷한 크기)</t>
  </si>
  <si>
    <t>High와 Low를 확인할 수 있으면 어떤 타입이든 상관없음</t>
  </si>
  <si>
    <t>Fan</t>
  </si>
  <si>
    <t>3상 전동기</t>
  </si>
  <si>
    <t>300mm</t>
  </si>
  <si>
    <t>ExB-TIS-S290FT</t>
  </si>
  <si>
    <t>https://www.baramnara.co.kr/wizmart.php?query=view&amp;code=002003&amp;no=1511&amp;lv=2</t>
  </si>
  <si>
    <t>Chamber 후단 공기 배출용 FAN</t>
  </si>
  <si>
    <t>In : 단상
Out : 3상</t>
  </si>
  <si>
    <t>LSLV0015M100-1EOFNA</t>
  </si>
  <si>
    <t>https://www.navimro.com/g/350700/?srsltid=AfmBOoqS1F2ZxnsU90aKpt6DzG6xawX2pIL3d6d1TWKugTrc3FYatcO8</t>
  </si>
  <si>
    <t>Fan 속도 제어용 Inverter</t>
  </si>
  <si>
    <t>실험 재정비 진행률</t>
  </si>
  <si>
    <t>실험 A 진행률</t>
  </si>
  <si>
    <t>실험 B 진행률</t>
  </si>
  <si>
    <t>실험 C 진행률</t>
  </si>
  <si>
    <t>실험 변수_시간 2</t>
  </si>
  <si>
    <t>실험 변수_시간 1</t>
  </si>
  <si>
    <t>실험 변수_1</t>
  </si>
  <si>
    <t>실험 변수_2</t>
  </si>
  <si>
    <t>실험 변수_3</t>
  </si>
  <si>
    <t>실험 변수_시간 3</t>
  </si>
  <si>
    <t>실험 Type A 실행</t>
    <phoneticPr fontId="1" type="noConversion"/>
  </si>
  <si>
    <t>실험 Type B 실행</t>
    <phoneticPr fontId="1" type="noConversion"/>
  </si>
  <si>
    <t>실험 Type C 실행</t>
    <phoneticPr fontId="1" type="noConversion"/>
  </si>
  <si>
    <t>Experiment_Type_A</t>
    <phoneticPr fontId="1" type="noConversion"/>
  </si>
  <si>
    <t>Type_A</t>
    <phoneticPr fontId="1" type="noConversion"/>
  </si>
  <si>
    <t>Type_B</t>
    <phoneticPr fontId="1" type="noConversion"/>
  </si>
  <si>
    <t>Type_C</t>
    <phoneticPr fontId="1" type="noConversion"/>
  </si>
  <si>
    <t>Experiment_Type_B</t>
    <phoneticPr fontId="1" type="noConversion"/>
  </si>
  <si>
    <t>Experiment_Type_C</t>
    <phoneticPr fontId="1" type="noConversion"/>
  </si>
  <si>
    <t>Process_A</t>
    <phoneticPr fontId="1" type="noConversion"/>
  </si>
  <si>
    <t>Process_B</t>
    <phoneticPr fontId="1" type="noConversion"/>
  </si>
  <si>
    <t>Process_C</t>
    <phoneticPr fontId="1" type="noConversion"/>
  </si>
  <si>
    <t>Process_End</t>
  </si>
  <si>
    <t>실험 변수_ Sol 1 Use</t>
    <phoneticPr fontId="1" type="noConversion"/>
  </si>
  <si>
    <t>실험 변수_ Sol 2 Use</t>
  </si>
  <si>
    <t>DO</t>
    <phoneticPr fontId="1" type="noConversion"/>
  </si>
  <si>
    <t>Bool</t>
    <phoneticPr fontId="1" type="noConversion"/>
  </si>
  <si>
    <t>AO</t>
    <phoneticPr fontId="1" type="noConversion"/>
  </si>
  <si>
    <t>Ex_Value_1</t>
    <phoneticPr fontId="1" type="noConversion"/>
  </si>
  <si>
    <t>Ex_Value_2</t>
  </si>
  <si>
    <t>Ex_Value_3</t>
  </si>
  <si>
    <t>Value_1</t>
    <phoneticPr fontId="1" type="noConversion"/>
  </si>
  <si>
    <t>Value_2</t>
    <phoneticPr fontId="1" type="noConversion"/>
  </si>
  <si>
    <t>Value_3</t>
    <phoneticPr fontId="1" type="noConversion"/>
  </si>
  <si>
    <t>Time_1</t>
    <phoneticPr fontId="1" type="noConversion"/>
  </si>
  <si>
    <t>Time_2</t>
  </si>
  <si>
    <t>Time_3</t>
  </si>
  <si>
    <t>Ex_Time_1</t>
    <phoneticPr fontId="1" type="noConversion"/>
  </si>
  <si>
    <t>Ex_Time_2</t>
  </si>
  <si>
    <t>Ex_Time_3</t>
  </si>
  <si>
    <t>Ex_Sol_1</t>
    <phoneticPr fontId="1" type="noConversion"/>
  </si>
  <si>
    <t>Experiment_Sol_1</t>
    <phoneticPr fontId="1" type="noConversion"/>
  </si>
  <si>
    <t>Ex_Sol_2</t>
  </si>
  <si>
    <t>Experiment_Sol_2</t>
  </si>
  <si>
    <t>모든 실험에 공통으로 사용되는 변수</t>
    <phoneticPr fontId="1" type="noConversion"/>
  </si>
  <si>
    <t>Type A, B에서 고정</t>
    <phoneticPr fontId="1" type="noConversion"/>
  </si>
  <si>
    <t>SV101 밸브</t>
    <phoneticPr fontId="1" type="noConversion"/>
  </si>
  <si>
    <t>SV102 밸브</t>
    <phoneticPr fontId="1" type="noConversion"/>
  </si>
  <si>
    <t>SV101 밸브 상태</t>
    <phoneticPr fontId="1" type="noConversion"/>
  </si>
  <si>
    <t>SV102 밸브 상태</t>
    <phoneticPr fontId="1" type="noConversion"/>
  </si>
  <si>
    <t>Ex_Reset</t>
    <phoneticPr fontId="1" type="noConversion"/>
  </si>
  <si>
    <t>Name</t>
  </si>
  <si>
    <t>Type_B</t>
  </si>
  <si>
    <t>Type_A</t>
  </si>
  <si>
    <t>Type_C</t>
  </si>
  <si>
    <t>Type_End</t>
  </si>
  <si>
    <t>End</t>
  </si>
  <si>
    <t>Value</t>
  </si>
  <si>
    <t>Timer</t>
  </si>
  <si>
    <t>Fan 가동</t>
  </si>
  <si>
    <t>Fan 가동 후 안정화 대기</t>
  </si>
  <si>
    <t>암모니아 공급 시작</t>
  </si>
  <si>
    <t>암모니아 공급 후 암모니아 농도 검출</t>
  </si>
  <si>
    <t>암모니아 검출 후 대기</t>
  </si>
  <si>
    <t>Water Curtain 작동</t>
  </si>
  <si>
    <t>실험 종료 시간까지 대기</t>
  </si>
  <si>
    <t>실험 종료</t>
  </si>
  <si>
    <t>Ex_Value_1</t>
  </si>
  <si>
    <t>Ex_Time_1</t>
  </si>
  <si>
    <t>Ex_Value_2</t>
    <phoneticPr fontId="1" type="noConversion"/>
  </si>
  <si>
    <t>Action</t>
  </si>
  <si>
    <t>MFC 차단</t>
  </si>
  <si>
    <t>Fan 최대속도 설정</t>
  </si>
  <si>
    <t>챔버 내부 세척용 Water Curtain 가동</t>
  </si>
  <si>
    <t>세정중 대기</t>
  </si>
  <si>
    <t>Water Curtain 차단</t>
  </si>
  <si>
    <t>챔버 내부 건조</t>
  </si>
  <si>
    <t>재정비 절차 진행</t>
  </si>
  <si>
    <t>Sol_Set</t>
  </si>
  <si>
    <t>Sol_End</t>
  </si>
  <si>
    <t>암모니아 차단 후 내부 챔버 환기를 위하여 Fan 최대속도 가동</t>
  </si>
  <si>
    <t>챔버 내부를 충분히 환기하기 위해 대기</t>
  </si>
  <si>
    <t>챔버 내부에 오염된 부분을 제거하기 위해  Water Curtain On</t>
  </si>
  <si>
    <t>충분히 세척을 하기 위해 대기</t>
  </si>
  <si>
    <t>충분한 세척 후  Water Curtain 차단</t>
  </si>
  <si>
    <t>내부 건조를 위해 Fan을 들고 대기</t>
  </si>
  <si>
    <t>실험에 필요한 내부 유속을 공급하기 위해 특정 RPM만큼 Fan 가동</t>
  </si>
  <si>
    <t>풍속계를 확인하여 원하는 풍속이 안정화 되는 시간을 설정</t>
  </si>
  <si>
    <t>실험 조건(암모니아 누출량)에 따라 MFC 개방 Value 조절</t>
  </si>
  <si>
    <t>암모니아 공급 후 챔버 까지 도달하는 시간 고려</t>
  </si>
  <si>
    <t>재정비를 위해서 혹시라도 누출될 상황을 대비하여 암모니아를 차단</t>
  </si>
  <si>
    <t>No</t>
    <phoneticPr fontId="1" type="noConversion"/>
  </si>
  <si>
    <t>Ex_ESD</t>
  </si>
  <si>
    <t>실험 긴급 종료 버튼</t>
  </si>
  <si>
    <t>Ex_Stop</t>
  </si>
  <si>
    <t>Ex_Start</t>
  </si>
  <si>
    <t>PLC 고속카운터</t>
  </si>
  <si>
    <t>XGF-HO2A</t>
  </si>
  <si>
    <t>40핀 케이블 or 단자대 필요</t>
  </si>
  <si>
    <t>유량계 적산 데이터 수집용</t>
  </si>
  <si>
    <t>2ch</t>
  </si>
  <si>
    <t>https://2sk.co.kr/shop_view/?idx=765</t>
  </si>
  <si>
    <t>Function</t>
    <phoneticPr fontId="1" type="noConversion"/>
  </si>
  <si>
    <t>InstrumentType</t>
    <phoneticPr fontId="1" type="noConversion"/>
  </si>
  <si>
    <t>PointType</t>
    <phoneticPr fontId="1" type="noConversion"/>
  </si>
  <si>
    <t>Value</t>
    <phoneticPr fontId="1" type="noConversion"/>
  </si>
  <si>
    <t>Setting</t>
    <phoneticPr fontId="1" type="noConversion"/>
  </si>
  <si>
    <t>Inte</t>
    <phoneticPr fontId="1" type="noConversion"/>
  </si>
  <si>
    <t>PLCMax</t>
    <phoneticPr fontId="1" type="noConversion"/>
  </si>
  <si>
    <t>PLCMin</t>
    <phoneticPr fontId="1" type="noConversion"/>
  </si>
  <si>
    <t>RangeMax</t>
    <phoneticPr fontId="1" type="noConversion"/>
  </si>
  <si>
    <t>RangeMin</t>
    <phoneticPr fontId="1" type="noConversion"/>
  </si>
  <si>
    <t>Type_End</t>
    <phoneticPr fontId="1" type="noConversion"/>
  </si>
  <si>
    <t>Experiment_Process_A</t>
    <phoneticPr fontId="1" type="noConversion"/>
  </si>
  <si>
    <t>Experiment_Process_B</t>
    <phoneticPr fontId="1" type="noConversion"/>
  </si>
  <si>
    <t>Experiment_Process_C</t>
    <phoneticPr fontId="1" type="noConversion"/>
  </si>
  <si>
    <t>Experiment_Process_End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</si>
</sst>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42" fontId="0" fillId="0" borderId="0" xfId="0" applyNumberFormat="1"/>
    <xf numFmtId="42" fontId="0" fillId="2" borderId="0" xfId="0" applyNumberFormat="1" applyFill="1" applyAlignment="1">
      <alignment vertical="center"/>
    </xf>
    <xf numFmtId="42" fontId="0" fillId="0" borderId="0" xfId="0" applyNumberFormat="1" applyAlignment="1">
      <alignment vertical="center"/>
    </xf>
    <xf numFmtId="0" fontId="3" fillId="0" borderId="0" xfId="1" applyAlignment="1">
      <alignment vertical="center" readingOrder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0" xfId="1" applyFill="1" applyBorder="1"/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4" fillId="0" borderId="3" xfId="0" applyFont="1" applyBorder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TargetMode="External"/><Relationship Id="rId3" Type="http://schemas.openxmlformats.org/officeDocument/2006/relationships/hyperlink" Target="https://dh34.com/products/sensor/level-switch/?mod=document&amp;pageid=1&amp;uid=222" TargetMode="External"/><Relationship Id="rId7" Type="http://schemas.openxmlformats.org/officeDocument/2006/relationships/hyperlink" Target="https://www.navimro.com/g/350700/?srsltid=AfmBOoqS1F2ZxnsU90aKpt6DzG6xawX2pIL3d6d1TWKugTrc3FYatcO8" TargetMode="External"/><Relationship Id="rId2" Type="http://schemas.openxmlformats.org/officeDocument/2006/relationships/hyperlink" Target="https://www.parantong.com/shop/item.php?it_id=1653895021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6" Type="http://schemas.openxmlformats.org/officeDocument/2006/relationships/hyperlink" Target="https://www.baramnara.co.kr/wizmart.php?query=view&amp;code=002003&amp;no=1511&amp;lv=2" TargetMode="External"/><Relationship Id="rId5" Type="http://schemas.openxmlformats.org/officeDocument/2006/relationships/hyperlink" Target="https://kr.misumi-ec.com/vona2/detail/222000170206/" TargetMode="External"/><Relationship Id="rId4" Type="http://schemas.openxmlformats.org/officeDocument/2006/relationships/hyperlink" Target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TargetMode="External"/><Relationship Id="rId9" Type="http://schemas.openxmlformats.org/officeDocument/2006/relationships/hyperlink" Target="https://2sk.co.kr/shop_view/?idx=7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6"/>
  <sheetViews>
    <sheetView workbookViewId="0">
      <selection activeCell="B16" sqref="B16"/>
    </sheetView>
  </sheetViews>
  <sheetFormatPr defaultRowHeight="16.5"/>
  <sheetData>
    <row r="4" spans="2:3">
      <c r="B4" t="s">
        <v>0</v>
      </c>
      <c r="C4" t="s">
        <v>1</v>
      </c>
    </row>
    <row r="6" spans="2:3">
      <c r="B6" t="s">
        <v>2</v>
      </c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1" spans="2:3">
      <c r="B11" t="s">
        <v>7</v>
      </c>
    </row>
    <row r="13" spans="2:3">
      <c r="B13" t="s">
        <v>77</v>
      </c>
    </row>
    <row r="16" spans="2:3">
      <c r="B16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614-A5BE-4FB7-B2E6-807540769775}">
  <dimension ref="A1:R50"/>
  <sheetViews>
    <sheetView tabSelected="1" zoomScale="85" zoomScaleNormal="85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B23" sqref="B23"/>
    </sheetView>
  </sheetViews>
  <sheetFormatPr defaultRowHeight="16.5"/>
  <cols>
    <col min="1" max="1" width="6.375" style="1" bestFit="1" customWidth="1"/>
    <col min="2" max="2" width="24.375" style="1" bestFit="1" customWidth="1"/>
    <col min="3" max="3" width="11.25" style="1" bestFit="1" customWidth="1"/>
    <col min="4" max="4" width="11.25" style="1" customWidth="1"/>
    <col min="5" max="5" width="9" style="1"/>
    <col min="6" max="6" width="20.75" style="1" bestFit="1" customWidth="1"/>
    <col min="7" max="7" width="17.875" style="1" bestFit="1" customWidth="1"/>
    <col min="8" max="8" width="11.125" style="1" bestFit="1" customWidth="1"/>
    <col min="9" max="9" width="16.875" style="1" bestFit="1" customWidth="1"/>
    <col min="10" max="10" width="11.5" style="1" bestFit="1" customWidth="1"/>
    <col min="11" max="11" width="13" style="1" bestFit="1" customWidth="1"/>
    <col min="12" max="12" width="13.25" style="1" bestFit="1" customWidth="1"/>
    <col min="13" max="13" width="10.75" style="1" bestFit="1" customWidth="1"/>
    <col min="14" max="14" width="11" style="1" bestFit="1" customWidth="1"/>
    <col min="15" max="15" width="10.125" style="1" bestFit="1" customWidth="1"/>
    <col min="16" max="16" width="10.25" style="1" bestFit="1" customWidth="1"/>
    <col min="17" max="17" width="36.375" style="1" bestFit="1" customWidth="1"/>
    <col min="18" max="18" width="34.5" style="1" bestFit="1" customWidth="1"/>
    <col min="19" max="16384" width="9" style="1"/>
  </cols>
  <sheetData>
    <row r="1" spans="1:18">
      <c r="A1" s="14" t="s">
        <v>9</v>
      </c>
      <c r="B1" s="14" t="s">
        <v>10</v>
      </c>
      <c r="C1" s="14" t="s">
        <v>283</v>
      </c>
      <c r="D1" s="14" t="s">
        <v>285</v>
      </c>
      <c r="E1" s="14" t="s">
        <v>11</v>
      </c>
      <c r="F1" s="14" t="s">
        <v>12</v>
      </c>
      <c r="G1" s="14" t="s">
        <v>284</v>
      </c>
      <c r="H1" s="14" t="s">
        <v>13</v>
      </c>
      <c r="I1" s="14" t="s">
        <v>14</v>
      </c>
      <c r="J1" s="14" t="s">
        <v>15</v>
      </c>
      <c r="K1" s="14" t="s">
        <v>292</v>
      </c>
      <c r="L1" s="14" t="s">
        <v>291</v>
      </c>
      <c r="M1" s="14" t="s">
        <v>290</v>
      </c>
      <c r="N1" s="14" t="s">
        <v>289</v>
      </c>
      <c r="O1" s="14" t="s">
        <v>16</v>
      </c>
      <c r="P1" s="14" t="s">
        <v>79</v>
      </c>
      <c r="Q1" s="14" t="s">
        <v>17</v>
      </c>
      <c r="R1" s="14" t="s">
        <v>75</v>
      </c>
    </row>
    <row r="2" spans="1:18">
      <c r="A2" s="15">
        <v>1</v>
      </c>
      <c r="B2" s="15" t="s">
        <v>18</v>
      </c>
      <c r="C2" s="15" t="s">
        <v>71</v>
      </c>
      <c r="D2" s="15" t="s">
        <v>19</v>
      </c>
      <c r="E2" s="15" t="s">
        <v>286</v>
      </c>
      <c r="F2" s="15" t="s">
        <v>20</v>
      </c>
      <c r="G2" s="15" t="s">
        <v>110</v>
      </c>
      <c r="H2" s="15" t="s">
        <v>18</v>
      </c>
      <c r="I2" s="15" t="s">
        <v>21</v>
      </c>
      <c r="J2" s="15" t="s">
        <v>22</v>
      </c>
      <c r="K2" s="15">
        <v>0</v>
      </c>
      <c r="L2" s="15">
        <v>100</v>
      </c>
      <c r="M2" s="15">
        <v>0</v>
      </c>
      <c r="N2" s="15">
        <v>16000</v>
      </c>
      <c r="O2" s="15">
        <v>0</v>
      </c>
      <c r="P2" s="15" t="b">
        <v>1</v>
      </c>
      <c r="Q2" s="15" t="s">
        <v>23</v>
      </c>
      <c r="R2" s="15"/>
    </row>
    <row r="3" spans="1:18">
      <c r="A3" s="15">
        <v>2</v>
      </c>
      <c r="B3" s="15" t="s">
        <v>24</v>
      </c>
      <c r="C3" s="15" t="s">
        <v>71</v>
      </c>
      <c r="D3" s="15" t="s">
        <v>19</v>
      </c>
      <c r="E3" s="15" t="s">
        <v>286</v>
      </c>
      <c r="F3" s="15" t="s">
        <v>20</v>
      </c>
      <c r="G3" s="15" t="s">
        <v>110</v>
      </c>
      <c r="H3" s="15" t="s">
        <v>24</v>
      </c>
      <c r="I3" s="15" t="s">
        <v>21</v>
      </c>
      <c r="J3" s="15" t="s">
        <v>22</v>
      </c>
      <c r="K3" s="15">
        <v>0</v>
      </c>
      <c r="L3" s="15">
        <v>100</v>
      </c>
      <c r="M3" s="15">
        <v>0</v>
      </c>
      <c r="N3" s="15">
        <v>16000</v>
      </c>
      <c r="O3" s="15">
        <v>1</v>
      </c>
      <c r="P3" s="15" t="b">
        <v>1</v>
      </c>
      <c r="Q3" s="15" t="s">
        <v>25</v>
      </c>
      <c r="R3" s="15"/>
    </row>
    <row r="4" spans="1:18">
      <c r="A4" s="15">
        <v>3</v>
      </c>
      <c r="B4" s="15" t="s">
        <v>26</v>
      </c>
      <c r="C4" s="15" t="s">
        <v>71</v>
      </c>
      <c r="D4" s="15" t="s">
        <v>19</v>
      </c>
      <c r="E4" s="15" t="s">
        <v>286</v>
      </c>
      <c r="F4" s="15" t="s">
        <v>20</v>
      </c>
      <c r="G4" s="15" t="s">
        <v>110</v>
      </c>
      <c r="H4" s="15" t="s">
        <v>26</v>
      </c>
      <c r="I4" s="15" t="s">
        <v>21</v>
      </c>
      <c r="J4" s="15" t="s">
        <v>22</v>
      </c>
      <c r="K4" s="15">
        <v>0</v>
      </c>
      <c r="L4" s="15">
        <v>100</v>
      </c>
      <c r="M4" s="15">
        <v>0</v>
      </c>
      <c r="N4" s="15">
        <v>16000</v>
      </c>
      <c r="O4" s="15">
        <v>2</v>
      </c>
      <c r="P4" s="15" t="b">
        <v>1</v>
      </c>
      <c r="Q4" s="15" t="s">
        <v>27</v>
      </c>
      <c r="R4" s="15"/>
    </row>
    <row r="5" spans="1:18">
      <c r="A5" s="15">
        <v>4</v>
      </c>
      <c r="B5" s="15" t="s">
        <v>28</v>
      </c>
      <c r="C5" s="15" t="s">
        <v>71</v>
      </c>
      <c r="D5" s="15" t="s">
        <v>19</v>
      </c>
      <c r="E5" s="15" t="s">
        <v>286</v>
      </c>
      <c r="F5" s="15" t="s">
        <v>20</v>
      </c>
      <c r="G5" s="15" t="s">
        <v>110</v>
      </c>
      <c r="H5" s="15" t="s">
        <v>28</v>
      </c>
      <c r="I5" s="15" t="s">
        <v>21</v>
      </c>
      <c r="J5" s="15" t="s">
        <v>22</v>
      </c>
      <c r="K5" s="15">
        <v>0</v>
      </c>
      <c r="L5" s="15">
        <v>100</v>
      </c>
      <c r="M5" s="15">
        <v>0</v>
      </c>
      <c r="N5" s="15">
        <v>16000</v>
      </c>
      <c r="O5" s="15">
        <v>3</v>
      </c>
      <c r="P5" s="15" t="b">
        <v>1</v>
      </c>
      <c r="Q5" s="15" t="s">
        <v>29</v>
      </c>
      <c r="R5" s="15"/>
    </row>
    <row r="6" spans="1:18">
      <c r="A6" s="15">
        <v>5</v>
      </c>
      <c r="B6" s="15" t="s">
        <v>30</v>
      </c>
      <c r="C6" s="15" t="s">
        <v>71</v>
      </c>
      <c r="D6" s="15" t="s">
        <v>19</v>
      </c>
      <c r="E6" s="15" t="s">
        <v>286</v>
      </c>
      <c r="F6" s="15" t="s">
        <v>31</v>
      </c>
      <c r="G6" s="15" t="s">
        <v>110</v>
      </c>
      <c r="H6" s="15" t="s">
        <v>30</v>
      </c>
      <c r="I6" s="15" t="s">
        <v>21</v>
      </c>
      <c r="J6" s="15" t="s">
        <v>22</v>
      </c>
      <c r="K6" s="15">
        <v>0</v>
      </c>
      <c r="L6" s="15">
        <v>100</v>
      </c>
      <c r="M6" s="15">
        <v>0</v>
      </c>
      <c r="N6" s="15">
        <v>16000</v>
      </c>
      <c r="O6" s="15">
        <v>4</v>
      </c>
      <c r="P6" s="15" t="b">
        <v>1</v>
      </c>
      <c r="Q6" s="15" t="s">
        <v>32</v>
      </c>
      <c r="R6" s="15"/>
    </row>
    <row r="7" spans="1:18">
      <c r="A7" s="15">
        <v>6</v>
      </c>
      <c r="B7" s="15" t="s">
        <v>33</v>
      </c>
      <c r="C7" s="15" t="s">
        <v>71</v>
      </c>
      <c r="D7" s="15" t="s">
        <v>19</v>
      </c>
      <c r="E7" s="15" t="s">
        <v>286</v>
      </c>
      <c r="F7" s="15" t="s">
        <v>31</v>
      </c>
      <c r="G7" s="15" t="s">
        <v>110</v>
      </c>
      <c r="H7" s="15" t="s">
        <v>33</v>
      </c>
      <c r="I7" s="15" t="s">
        <v>21</v>
      </c>
      <c r="J7" s="15" t="s">
        <v>22</v>
      </c>
      <c r="K7" s="15">
        <v>0</v>
      </c>
      <c r="L7" s="15">
        <v>100</v>
      </c>
      <c r="M7" s="15">
        <v>0</v>
      </c>
      <c r="N7" s="15">
        <v>16000</v>
      </c>
      <c r="O7" s="15">
        <v>5</v>
      </c>
      <c r="P7" s="15" t="b">
        <v>1</v>
      </c>
      <c r="Q7" s="15" t="s">
        <v>34</v>
      </c>
      <c r="R7" s="15"/>
    </row>
    <row r="8" spans="1:18">
      <c r="A8" s="15">
        <v>7</v>
      </c>
      <c r="B8" s="15" t="s">
        <v>35</v>
      </c>
      <c r="C8" s="15" t="s">
        <v>71</v>
      </c>
      <c r="D8" s="15" t="s">
        <v>19</v>
      </c>
      <c r="E8" s="15" t="s">
        <v>286</v>
      </c>
      <c r="F8" s="15" t="s">
        <v>31</v>
      </c>
      <c r="G8" s="15" t="s">
        <v>110</v>
      </c>
      <c r="H8" s="15" t="s">
        <v>35</v>
      </c>
      <c r="I8" s="15" t="s">
        <v>36</v>
      </c>
      <c r="J8" s="15" t="s">
        <v>22</v>
      </c>
      <c r="K8" s="15">
        <v>0</v>
      </c>
      <c r="L8" s="15">
        <v>100</v>
      </c>
      <c r="M8" s="15">
        <v>0</v>
      </c>
      <c r="N8" s="15">
        <v>16000</v>
      </c>
      <c r="O8" s="15">
        <v>6</v>
      </c>
      <c r="P8" s="15" t="b">
        <v>1</v>
      </c>
      <c r="Q8" s="15" t="s">
        <v>37</v>
      </c>
      <c r="R8" s="15"/>
    </row>
    <row r="9" spans="1:18">
      <c r="A9" s="15">
        <v>8</v>
      </c>
      <c r="B9" s="15" t="s">
        <v>38</v>
      </c>
      <c r="C9" s="15" t="s">
        <v>71</v>
      </c>
      <c r="D9" s="15" t="s">
        <v>19</v>
      </c>
      <c r="E9" s="15" t="s">
        <v>286</v>
      </c>
      <c r="F9" s="15" t="s">
        <v>31</v>
      </c>
      <c r="G9" s="15" t="s">
        <v>110</v>
      </c>
      <c r="H9" s="15" t="s">
        <v>38</v>
      </c>
      <c r="I9" s="15" t="s">
        <v>39</v>
      </c>
      <c r="J9" s="15" t="s">
        <v>22</v>
      </c>
      <c r="K9" s="15">
        <v>0</v>
      </c>
      <c r="L9" s="15">
        <v>100</v>
      </c>
      <c r="M9" s="15">
        <v>0</v>
      </c>
      <c r="N9" s="15">
        <v>16000</v>
      </c>
      <c r="O9" s="15">
        <v>7</v>
      </c>
      <c r="P9" s="15" t="b">
        <v>1</v>
      </c>
      <c r="Q9" s="15" t="s">
        <v>40</v>
      </c>
      <c r="R9" s="15"/>
    </row>
    <row r="10" spans="1:18">
      <c r="A10" s="15">
        <v>9</v>
      </c>
      <c r="B10" s="15" t="s">
        <v>41</v>
      </c>
      <c r="C10" s="15" t="s">
        <v>71</v>
      </c>
      <c r="D10" s="15" t="s">
        <v>19</v>
      </c>
      <c r="E10" s="15" t="s">
        <v>286</v>
      </c>
      <c r="F10" s="15" t="s">
        <v>42</v>
      </c>
      <c r="G10" s="15" t="s">
        <v>110</v>
      </c>
      <c r="H10" s="15" t="s">
        <v>41</v>
      </c>
      <c r="I10" s="15" t="s">
        <v>39</v>
      </c>
      <c r="J10" s="15" t="s">
        <v>22</v>
      </c>
      <c r="K10" s="15">
        <v>0</v>
      </c>
      <c r="L10" s="15">
        <v>100</v>
      </c>
      <c r="M10" s="15">
        <v>0</v>
      </c>
      <c r="N10" s="15">
        <v>16000</v>
      </c>
      <c r="O10" s="15">
        <v>8</v>
      </c>
      <c r="P10" s="15" t="b">
        <v>1</v>
      </c>
      <c r="Q10" s="15" t="s">
        <v>43</v>
      </c>
      <c r="R10" s="15"/>
    </row>
    <row r="11" spans="1:18">
      <c r="A11" s="15">
        <v>10</v>
      </c>
      <c r="B11" s="15" t="s">
        <v>44</v>
      </c>
      <c r="C11" s="15" t="s">
        <v>71</v>
      </c>
      <c r="D11" s="15" t="s">
        <v>19</v>
      </c>
      <c r="E11" s="15" t="s">
        <v>286</v>
      </c>
      <c r="F11" s="15" t="s">
        <v>45</v>
      </c>
      <c r="G11" s="15" t="s">
        <v>111</v>
      </c>
      <c r="H11" s="15" t="s">
        <v>44</v>
      </c>
      <c r="I11" s="15" t="s">
        <v>39</v>
      </c>
      <c r="J11" s="15" t="s">
        <v>22</v>
      </c>
      <c r="K11" s="15">
        <v>0</v>
      </c>
      <c r="L11" s="15">
        <v>100</v>
      </c>
      <c r="M11" s="15">
        <v>0</v>
      </c>
      <c r="N11" s="15">
        <v>16000</v>
      </c>
      <c r="O11" s="15">
        <v>9</v>
      </c>
      <c r="P11" s="15" t="b">
        <v>1</v>
      </c>
      <c r="Q11" s="15" t="s">
        <v>74</v>
      </c>
      <c r="R11" s="15"/>
    </row>
    <row r="12" spans="1:18">
      <c r="A12" s="15">
        <v>11</v>
      </c>
      <c r="B12" s="15" t="s">
        <v>76</v>
      </c>
      <c r="C12" s="15" t="s">
        <v>71</v>
      </c>
      <c r="D12" s="15" t="s">
        <v>19</v>
      </c>
      <c r="E12" s="15" t="s">
        <v>286</v>
      </c>
      <c r="F12" s="15" t="s">
        <v>45</v>
      </c>
      <c r="G12" s="15" t="s">
        <v>111</v>
      </c>
      <c r="H12" s="15" t="s">
        <v>76</v>
      </c>
      <c r="I12" s="15" t="s">
        <v>39</v>
      </c>
      <c r="J12" s="15" t="s">
        <v>22</v>
      </c>
      <c r="K12" s="15">
        <v>0</v>
      </c>
      <c r="L12" s="15">
        <v>100</v>
      </c>
      <c r="M12" s="15">
        <v>0</v>
      </c>
      <c r="N12" s="15">
        <v>16000</v>
      </c>
      <c r="O12" s="15">
        <v>10</v>
      </c>
      <c r="P12" s="15" t="b">
        <v>1</v>
      </c>
      <c r="Q12" s="15" t="s">
        <v>73</v>
      </c>
      <c r="R12" s="15"/>
    </row>
    <row r="13" spans="1:18">
      <c r="A13" s="15">
        <v>12</v>
      </c>
      <c r="B13" s="15" t="s">
        <v>46</v>
      </c>
      <c r="C13" s="15" t="s">
        <v>71</v>
      </c>
      <c r="D13" s="15" t="s">
        <v>19</v>
      </c>
      <c r="E13" s="15" t="s">
        <v>286</v>
      </c>
      <c r="F13" s="15" t="s">
        <v>78</v>
      </c>
      <c r="G13" s="15" t="s">
        <v>110</v>
      </c>
      <c r="H13" s="15" t="s">
        <v>46</v>
      </c>
      <c r="I13" s="15" t="s">
        <v>21</v>
      </c>
      <c r="J13" s="15" t="s">
        <v>22</v>
      </c>
      <c r="K13" s="15">
        <v>0</v>
      </c>
      <c r="L13" s="15">
        <v>100</v>
      </c>
      <c r="M13" s="15">
        <v>0</v>
      </c>
      <c r="N13" s="15">
        <v>16000</v>
      </c>
      <c r="O13" s="15">
        <v>11</v>
      </c>
      <c r="P13" s="15" t="b">
        <v>1</v>
      </c>
      <c r="Q13" s="15" t="s">
        <v>47</v>
      </c>
      <c r="R13" s="15"/>
    </row>
    <row r="14" spans="1:18">
      <c r="A14" s="15">
        <v>27</v>
      </c>
      <c r="B14" s="15" t="s">
        <v>94</v>
      </c>
      <c r="C14" s="15" t="s">
        <v>72</v>
      </c>
      <c r="D14" s="15" t="s">
        <v>19</v>
      </c>
      <c r="E14" s="15" t="s">
        <v>287</v>
      </c>
      <c r="F14" s="15" t="s">
        <v>91</v>
      </c>
      <c r="G14" s="15" t="s">
        <v>81</v>
      </c>
      <c r="H14" s="15" t="s">
        <v>70</v>
      </c>
      <c r="I14" s="15" t="s">
        <v>36</v>
      </c>
      <c r="J14" s="15" t="s">
        <v>22</v>
      </c>
      <c r="K14" s="15">
        <v>0</v>
      </c>
      <c r="L14" s="15">
        <v>100</v>
      </c>
      <c r="M14" s="15">
        <v>0</v>
      </c>
      <c r="N14" s="15">
        <v>16000</v>
      </c>
      <c r="O14" s="15">
        <v>13</v>
      </c>
      <c r="P14" s="15" t="b">
        <v>1</v>
      </c>
      <c r="Q14" s="15"/>
      <c r="R14" s="15"/>
    </row>
    <row r="15" spans="1:18">
      <c r="A15" s="15">
        <v>28</v>
      </c>
      <c r="B15" s="15" t="s">
        <v>95</v>
      </c>
      <c r="C15" s="15" t="s">
        <v>72</v>
      </c>
      <c r="D15" s="15" t="s">
        <v>19</v>
      </c>
      <c r="E15" s="15" t="s">
        <v>286</v>
      </c>
      <c r="F15" s="15" t="s">
        <v>45</v>
      </c>
      <c r="G15" s="15" t="s">
        <v>81</v>
      </c>
      <c r="H15" s="15" t="s">
        <v>70</v>
      </c>
      <c r="I15" s="15" t="s">
        <v>36</v>
      </c>
      <c r="J15" s="15" t="s">
        <v>22</v>
      </c>
      <c r="K15" s="15">
        <v>0</v>
      </c>
      <c r="L15" s="15">
        <v>100</v>
      </c>
      <c r="M15" s="15">
        <v>0</v>
      </c>
      <c r="N15" s="15">
        <v>16000</v>
      </c>
      <c r="O15" s="15">
        <v>14</v>
      </c>
      <c r="P15" s="15" t="b">
        <v>1</v>
      </c>
      <c r="Q15" s="15"/>
      <c r="R15" s="15"/>
    </row>
    <row r="16" spans="1:18">
      <c r="A16" s="15">
        <v>29</v>
      </c>
      <c r="B16" s="15" t="s">
        <v>96</v>
      </c>
      <c r="C16" s="15" t="s">
        <v>72</v>
      </c>
      <c r="D16" s="15" t="s">
        <v>19</v>
      </c>
      <c r="E16" s="15" t="s">
        <v>288</v>
      </c>
      <c r="F16" s="15" t="s">
        <v>92</v>
      </c>
      <c r="G16" s="15" t="s">
        <v>81</v>
      </c>
      <c r="H16" s="15" t="s">
        <v>70</v>
      </c>
      <c r="I16" s="15" t="s">
        <v>36</v>
      </c>
      <c r="J16" s="15" t="s">
        <v>22</v>
      </c>
      <c r="K16" s="15">
        <v>0</v>
      </c>
      <c r="L16" s="15">
        <v>100</v>
      </c>
      <c r="M16" s="15">
        <v>0</v>
      </c>
      <c r="N16" s="15">
        <v>16000</v>
      </c>
      <c r="O16" s="15">
        <v>15</v>
      </c>
      <c r="P16" s="15" t="b">
        <v>1</v>
      </c>
      <c r="Q16" s="15"/>
      <c r="R16" s="15"/>
    </row>
    <row r="17" spans="1:18">
      <c r="A17" s="15">
        <v>30</v>
      </c>
      <c r="B17" s="15" t="s">
        <v>102</v>
      </c>
      <c r="C17" s="15" t="s">
        <v>103</v>
      </c>
      <c r="D17" s="15" t="s">
        <v>19</v>
      </c>
      <c r="E17" s="15" t="s">
        <v>288</v>
      </c>
      <c r="F17" s="15" t="s">
        <v>104</v>
      </c>
      <c r="G17" s="15" t="s">
        <v>111</v>
      </c>
      <c r="H17" s="15" t="s">
        <v>44</v>
      </c>
      <c r="I17" s="15" t="s">
        <v>39</v>
      </c>
      <c r="J17" s="15" t="s">
        <v>22</v>
      </c>
      <c r="K17" s="15">
        <v>0</v>
      </c>
      <c r="L17" s="15">
        <v>100</v>
      </c>
      <c r="M17" s="15">
        <v>0</v>
      </c>
      <c r="N17" s="15">
        <v>16000</v>
      </c>
      <c r="O17" s="15">
        <v>17</v>
      </c>
      <c r="P17" s="15" t="b">
        <v>1</v>
      </c>
      <c r="Q17" s="15" t="s">
        <v>105</v>
      </c>
      <c r="R17" s="15"/>
    </row>
    <row r="18" spans="1:18">
      <c r="A18" s="15">
        <v>37</v>
      </c>
      <c r="B18" s="15" t="s">
        <v>294</v>
      </c>
      <c r="C18" s="15" t="s">
        <v>97</v>
      </c>
      <c r="D18" s="15" t="s">
        <v>19</v>
      </c>
      <c r="E18" s="15"/>
      <c r="F18" s="15" t="s">
        <v>200</v>
      </c>
      <c r="G18" s="15" t="s">
        <v>98</v>
      </c>
      <c r="H18" s="15" t="s">
        <v>234</v>
      </c>
      <c r="I18" s="15" t="s">
        <v>97</v>
      </c>
      <c r="J18" s="15" t="s">
        <v>22</v>
      </c>
      <c r="K18" s="15">
        <v>0</v>
      </c>
      <c r="L18" s="15">
        <v>1</v>
      </c>
      <c r="M18" s="15">
        <v>0</v>
      </c>
      <c r="N18" s="15">
        <v>1</v>
      </c>
      <c r="O18" s="15">
        <v>18</v>
      </c>
      <c r="P18" s="15" t="b">
        <v>1</v>
      </c>
      <c r="Q18" s="15" t="s">
        <v>182</v>
      </c>
      <c r="R18" s="15"/>
    </row>
    <row r="19" spans="1:18">
      <c r="A19" s="15">
        <v>38</v>
      </c>
      <c r="B19" s="15" t="s">
        <v>295</v>
      </c>
      <c r="C19" s="15" t="s">
        <v>97</v>
      </c>
      <c r="D19" s="15" t="s">
        <v>19</v>
      </c>
      <c r="E19" s="15"/>
      <c r="F19" s="15" t="s">
        <v>201</v>
      </c>
      <c r="G19" s="15" t="s">
        <v>98</v>
      </c>
      <c r="H19" s="15" t="s">
        <v>233</v>
      </c>
      <c r="I19" s="15" t="s">
        <v>97</v>
      </c>
      <c r="J19" s="15" t="s">
        <v>22</v>
      </c>
      <c r="K19" s="15">
        <v>0</v>
      </c>
      <c r="L19" s="15">
        <v>1</v>
      </c>
      <c r="M19" s="15">
        <v>0</v>
      </c>
      <c r="N19" s="15">
        <v>1</v>
      </c>
      <c r="O19" s="15">
        <v>19</v>
      </c>
      <c r="P19" s="15" t="b">
        <v>1</v>
      </c>
      <c r="Q19" s="15" t="s">
        <v>183</v>
      </c>
      <c r="R19" s="15"/>
    </row>
    <row r="20" spans="1:18">
      <c r="A20" s="15">
        <v>39</v>
      </c>
      <c r="B20" s="15" t="s">
        <v>296</v>
      </c>
      <c r="C20" s="15" t="s">
        <v>97</v>
      </c>
      <c r="D20" s="15" t="s">
        <v>19</v>
      </c>
      <c r="E20" s="15"/>
      <c r="F20" s="15" t="s">
        <v>202</v>
      </c>
      <c r="G20" s="15" t="s">
        <v>98</v>
      </c>
      <c r="H20" s="15" t="s">
        <v>235</v>
      </c>
      <c r="I20" s="15" t="s">
        <v>97</v>
      </c>
      <c r="J20" s="15" t="s">
        <v>22</v>
      </c>
      <c r="K20" s="15">
        <v>0</v>
      </c>
      <c r="L20" s="15">
        <v>1</v>
      </c>
      <c r="M20" s="15">
        <v>0</v>
      </c>
      <c r="N20" s="15">
        <v>1</v>
      </c>
      <c r="O20" s="15">
        <v>20</v>
      </c>
      <c r="P20" s="15" t="b">
        <v>1</v>
      </c>
      <c r="Q20" s="15" t="s">
        <v>184</v>
      </c>
      <c r="R20" s="15"/>
    </row>
    <row r="21" spans="1:18">
      <c r="A21" s="15">
        <v>40</v>
      </c>
      <c r="B21" s="15" t="s">
        <v>297</v>
      </c>
      <c r="C21" s="15" t="s">
        <v>97</v>
      </c>
      <c r="D21" s="15" t="s">
        <v>19</v>
      </c>
      <c r="E21" s="15"/>
      <c r="F21" s="15" t="s">
        <v>203</v>
      </c>
      <c r="G21" s="15" t="s">
        <v>98</v>
      </c>
      <c r="H21" s="15" t="s">
        <v>236</v>
      </c>
      <c r="I21" s="15" t="s">
        <v>97</v>
      </c>
      <c r="J21" s="15" t="s">
        <v>22</v>
      </c>
      <c r="K21" s="15">
        <v>0</v>
      </c>
      <c r="L21" s="15">
        <v>1</v>
      </c>
      <c r="M21" s="15">
        <v>0</v>
      </c>
      <c r="N21" s="15">
        <v>1</v>
      </c>
      <c r="O21" s="15">
        <v>21</v>
      </c>
      <c r="P21" s="15" t="b">
        <v>0</v>
      </c>
      <c r="Q21" s="15" t="s">
        <v>181</v>
      </c>
      <c r="R21" s="15"/>
    </row>
    <row r="22" spans="1:18">
      <c r="A22" s="15">
        <v>21</v>
      </c>
      <c r="B22" s="15" t="s">
        <v>59</v>
      </c>
      <c r="C22" s="15" t="s">
        <v>72</v>
      </c>
      <c r="D22" s="15" t="s">
        <v>60</v>
      </c>
      <c r="E22" s="15"/>
      <c r="F22" s="15" t="s">
        <v>61</v>
      </c>
      <c r="G22" s="15" t="s">
        <v>111</v>
      </c>
      <c r="H22" s="15" t="s">
        <v>62</v>
      </c>
      <c r="I22" s="15" t="s">
        <v>39</v>
      </c>
      <c r="J22" s="15" t="s">
        <v>22</v>
      </c>
      <c r="K22" s="15">
        <v>0</v>
      </c>
      <c r="L22" s="15">
        <v>100</v>
      </c>
      <c r="M22" s="15">
        <v>0</v>
      </c>
      <c r="N22" s="15">
        <v>16000</v>
      </c>
      <c r="O22" s="15">
        <v>30</v>
      </c>
      <c r="P22" s="15" t="b">
        <v>0</v>
      </c>
      <c r="Q22" s="15" t="s">
        <v>63</v>
      </c>
      <c r="R22" s="15"/>
    </row>
    <row r="23" spans="1:18">
      <c r="A23" s="15">
        <v>22</v>
      </c>
      <c r="B23" s="15" t="s">
        <v>64</v>
      </c>
      <c r="C23" s="15" t="s">
        <v>72</v>
      </c>
      <c r="D23" s="15" t="s">
        <v>60</v>
      </c>
      <c r="E23" s="15"/>
      <c r="F23" s="15" t="s">
        <v>61</v>
      </c>
      <c r="G23" s="15" t="s">
        <v>111</v>
      </c>
      <c r="H23" s="15" t="s">
        <v>65</v>
      </c>
      <c r="I23" s="15" t="s">
        <v>39</v>
      </c>
      <c r="J23" s="15" t="s">
        <v>22</v>
      </c>
      <c r="K23" s="15">
        <v>0</v>
      </c>
      <c r="L23" s="15">
        <v>100</v>
      </c>
      <c r="M23" s="15">
        <v>0</v>
      </c>
      <c r="N23" s="15">
        <v>16000</v>
      </c>
      <c r="O23" s="15">
        <v>31</v>
      </c>
      <c r="P23" s="15" t="b">
        <v>0</v>
      </c>
      <c r="Q23" s="15" t="s">
        <v>66</v>
      </c>
      <c r="R23" s="15"/>
    </row>
    <row r="24" spans="1:18">
      <c r="A24" s="15">
        <v>25</v>
      </c>
      <c r="B24" s="15" t="s">
        <v>67</v>
      </c>
      <c r="C24" s="15" t="s">
        <v>72</v>
      </c>
      <c r="D24" s="15" t="s">
        <v>60</v>
      </c>
      <c r="E24" s="15"/>
      <c r="F24" s="15" t="s">
        <v>61</v>
      </c>
      <c r="G24" s="15" t="s">
        <v>82</v>
      </c>
      <c r="H24" s="15" t="s">
        <v>68</v>
      </c>
      <c r="I24" s="15" t="s">
        <v>21</v>
      </c>
      <c r="J24" s="15" t="s">
        <v>22</v>
      </c>
      <c r="K24" s="15">
        <v>0</v>
      </c>
      <c r="L24" s="15">
        <v>100</v>
      </c>
      <c r="M24" s="15">
        <v>0</v>
      </c>
      <c r="N24" s="15">
        <v>16000</v>
      </c>
      <c r="O24" s="15">
        <v>32</v>
      </c>
      <c r="P24" s="15" t="b">
        <v>1</v>
      </c>
      <c r="Q24" s="15" t="s">
        <v>69</v>
      </c>
      <c r="R24" s="15"/>
    </row>
    <row r="25" spans="1:18" ht="32.25" customHeight="1">
      <c r="A25" s="15">
        <v>41</v>
      </c>
      <c r="B25" s="15" t="s">
        <v>209</v>
      </c>
      <c r="C25" s="15" t="s">
        <v>97</v>
      </c>
      <c r="D25" s="15" t="s">
        <v>208</v>
      </c>
      <c r="E25" s="15"/>
      <c r="F25" s="15" t="s">
        <v>212</v>
      </c>
      <c r="G25" s="15" t="s">
        <v>98</v>
      </c>
      <c r="H25" s="15" t="s">
        <v>97</v>
      </c>
      <c r="I25" s="15" t="s">
        <v>97</v>
      </c>
      <c r="J25" s="15" t="s">
        <v>22</v>
      </c>
      <c r="K25" s="15">
        <v>0</v>
      </c>
      <c r="L25" s="15">
        <v>1</v>
      </c>
      <c r="M25" s="15">
        <v>0</v>
      </c>
      <c r="N25" s="15">
        <v>1</v>
      </c>
      <c r="O25" s="15">
        <v>34</v>
      </c>
      <c r="P25" s="15" t="b">
        <v>0</v>
      </c>
      <c r="Q25" s="15" t="s">
        <v>187</v>
      </c>
      <c r="R25" s="15" t="s">
        <v>225</v>
      </c>
    </row>
    <row r="26" spans="1:18">
      <c r="A26" s="15">
        <v>42</v>
      </c>
      <c r="B26" s="15" t="s">
        <v>250</v>
      </c>
      <c r="C26" s="15" t="s">
        <v>97</v>
      </c>
      <c r="D26" s="15" t="s">
        <v>208</v>
      </c>
      <c r="E26" s="15"/>
      <c r="F26" s="15" t="s">
        <v>213</v>
      </c>
      <c r="G26" s="15" t="s">
        <v>98</v>
      </c>
      <c r="H26" s="15" t="s">
        <v>97</v>
      </c>
      <c r="I26" s="15" t="s">
        <v>97</v>
      </c>
      <c r="J26" s="15" t="s">
        <v>22</v>
      </c>
      <c r="K26" s="15">
        <v>0</v>
      </c>
      <c r="L26" s="15">
        <v>1</v>
      </c>
      <c r="M26" s="15">
        <v>0</v>
      </c>
      <c r="N26" s="15">
        <v>1</v>
      </c>
      <c r="O26" s="15">
        <v>35</v>
      </c>
      <c r="P26" s="15" t="b">
        <v>0</v>
      </c>
      <c r="Q26" s="15" t="s">
        <v>188</v>
      </c>
      <c r="R26" s="15" t="s">
        <v>225</v>
      </c>
    </row>
    <row r="27" spans="1:18">
      <c r="A27" s="15">
        <v>43</v>
      </c>
      <c r="B27" s="15" t="s">
        <v>211</v>
      </c>
      <c r="C27" s="15" t="s">
        <v>97</v>
      </c>
      <c r="D27" s="15" t="s">
        <v>208</v>
      </c>
      <c r="E27" s="15"/>
      <c r="F27" s="15" t="s">
        <v>214</v>
      </c>
      <c r="G27" s="15" t="s">
        <v>98</v>
      </c>
      <c r="H27" s="15" t="s">
        <v>97</v>
      </c>
      <c r="I27" s="15" t="s">
        <v>97</v>
      </c>
      <c r="J27" s="15" t="s">
        <v>22</v>
      </c>
      <c r="K27" s="15">
        <v>0</v>
      </c>
      <c r="L27" s="15">
        <v>1</v>
      </c>
      <c r="M27" s="15">
        <v>0</v>
      </c>
      <c r="N27" s="15">
        <v>1</v>
      </c>
      <c r="O27" s="15">
        <v>36</v>
      </c>
      <c r="P27" s="15" t="b">
        <v>0</v>
      </c>
      <c r="Q27" s="15" t="s">
        <v>189</v>
      </c>
      <c r="R27" s="15" t="s">
        <v>225</v>
      </c>
    </row>
    <row r="28" spans="1:18" ht="33">
      <c r="A28" s="15">
        <v>26</v>
      </c>
      <c r="B28" s="15" t="s">
        <v>93</v>
      </c>
      <c r="C28" s="15" t="s">
        <v>72</v>
      </c>
      <c r="D28" s="15" t="s">
        <v>60</v>
      </c>
      <c r="E28" s="15"/>
      <c r="F28" s="15" t="s">
        <v>90</v>
      </c>
      <c r="G28" s="15" t="s">
        <v>81</v>
      </c>
      <c r="H28" s="15" t="s">
        <v>70</v>
      </c>
      <c r="I28" s="15" t="s">
        <v>36</v>
      </c>
      <c r="J28" s="15" t="s">
        <v>22</v>
      </c>
      <c r="K28" s="15">
        <v>0</v>
      </c>
      <c r="L28" s="15">
        <v>100</v>
      </c>
      <c r="M28" s="15">
        <v>0</v>
      </c>
      <c r="N28" s="15">
        <v>16000</v>
      </c>
      <c r="O28" s="15">
        <v>37</v>
      </c>
      <c r="P28" s="15" t="b">
        <v>1</v>
      </c>
      <c r="Q28" s="16" t="s">
        <v>80</v>
      </c>
      <c r="R28" s="15"/>
    </row>
    <row r="29" spans="1:18">
      <c r="A29" s="15">
        <v>44</v>
      </c>
      <c r="B29" s="15" t="s">
        <v>218</v>
      </c>
      <c r="C29" s="15" t="s">
        <v>97</v>
      </c>
      <c r="D29" s="15" t="s">
        <v>208</v>
      </c>
      <c r="E29" s="15"/>
      <c r="F29" s="15" t="s">
        <v>215</v>
      </c>
      <c r="G29" s="15" t="s">
        <v>98</v>
      </c>
      <c r="H29" s="15" t="s">
        <v>97</v>
      </c>
      <c r="I29" s="15" t="s">
        <v>97</v>
      </c>
      <c r="J29" s="15" t="s">
        <v>22</v>
      </c>
      <c r="K29" s="15">
        <v>0</v>
      </c>
      <c r="L29" s="15">
        <v>1</v>
      </c>
      <c r="M29" s="15">
        <v>0</v>
      </c>
      <c r="N29" s="15">
        <v>1</v>
      </c>
      <c r="O29" s="15">
        <v>40</v>
      </c>
      <c r="P29" s="15" t="b">
        <v>0</v>
      </c>
      <c r="Q29" s="15" t="s">
        <v>186</v>
      </c>
      <c r="R29" s="15" t="s">
        <v>225</v>
      </c>
    </row>
    <row r="30" spans="1:18">
      <c r="A30" s="15">
        <v>45</v>
      </c>
      <c r="B30" s="15" t="s">
        <v>219</v>
      </c>
      <c r="C30" s="15" t="s">
        <v>97</v>
      </c>
      <c r="D30" s="15" t="s">
        <v>208</v>
      </c>
      <c r="E30" s="15"/>
      <c r="F30" s="15" t="s">
        <v>216</v>
      </c>
      <c r="G30" s="15" t="s">
        <v>98</v>
      </c>
      <c r="H30" s="15" t="s">
        <v>97</v>
      </c>
      <c r="I30" s="15" t="s">
        <v>97</v>
      </c>
      <c r="J30" s="15" t="s">
        <v>22</v>
      </c>
      <c r="K30" s="15">
        <v>0</v>
      </c>
      <c r="L30" s="15">
        <v>1</v>
      </c>
      <c r="M30" s="15">
        <v>0</v>
      </c>
      <c r="N30" s="15">
        <v>1</v>
      </c>
      <c r="O30" s="15">
        <v>41</v>
      </c>
      <c r="P30" s="15" t="b">
        <v>0</v>
      </c>
      <c r="Q30" s="15" t="s">
        <v>185</v>
      </c>
      <c r="R30" s="15" t="s">
        <v>225</v>
      </c>
    </row>
    <row r="31" spans="1:18">
      <c r="A31" s="15">
        <v>46</v>
      </c>
      <c r="B31" s="15" t="s">
        <v>220</v>
      </c>
      <c r="C31" s="15" t="s">
        <v>97</v>
      </c>
      <c r="D31" s="15" t="s">
        <v>208</v>
      </c>
      <c r="E31" s="15"/>
      <c r="F31" s="15" t="s">
        <v>217</v>
      </c>
      <c r="G31" s="15" t="s">
        <v>98</v>
      </c>
      <c r="H31" s="15" t="s">
        <v>97</v>
      </c>
      <c r="I31" s="15" t="s">
        <v>97</v>
      </c>
      <c r="J31" s="15" t="s">
        <v>22</v>
      </c>
      <c r="K31" s="15">
        <v>0</v>
      </c>
      <c r="L31" s="15">
        <v>1</v>
      </c>
      <c r="M31" s="15">
        <v>0</v>
      </c>
      <c r="N31" s="15">
        <v>1</v>
      </c>
      <c r="O31" s="15">
        <v>42</v>
      </c>
      <c r="P31" s="15" t="b">
        <v>0</v>
      </c>
      <c r="Q31" s="15" t="s">
        <v>190</v>
      </c>
      <c r="R31" s="15" t="s">
        <v>225</v>
      </c>
    </row>
    <row r="32" spans="1:18">
      <c r="A32" s="15">
        <v>13</v>
      </c>
      <c r="B32" s="15" t="s">
        <v>85</v>
      </c>
      <c r="C32" s="15" t="s">
        <v>71</v>
      </c>
      <c r="D32" s="15" t="s">
        <v>49</v>
      </c>
      <c r="E32" s="15"/>
      <c r="F32" s="15" t="s">
        <v>87</v>
      </c>
      <c r="G32" s="15" t="s">
        <v>109</v>
      </c>
      <c r="H32" s="15" t="s">
        <v>48</v>
      </c>
      <c r="I32" s="15" t="s">
        <v>50</v>
      </c>
      <c r="J32" s="15" t="s">
        <v>51</v>
      </c>
      <c r="K32" s="15">
        <v>0</v>
      </c>
      <c r="L32" s="15">
        <v>1</v>
      </c>
      <c r="M32" s="15">
        <v>0</v>
      </c>
      <c r="N32" s="15">
        <v>1</v>
      </c>
      <c r="O32" s="15">
        <v>250</v>
      </c>
      <c r="P32" s="15" t="b">
        <v>1</v>
      </c>
      <c r="Q32" s="15" t="s">
        <v>84</v>
      </c>
      <c r="R32" s="15"/>
    </row>
    <row r="33" spans="1:18">
      <c r="A33" s="15">
        <v>14</v>
      </c>
      <c r="B33" s="15" t="s">
        <v>86</v>
      </c>
      <c r="C33" s="15" t="s">
        <v>71</v>
      </c>
      <c r="D33" s="15" t="s">
        <v>49</v>
      </c>
      <c r="E33" s="15"/>
      <c r="F33" s="15" t="s">
        <v>88</v>
      </c>
      <c r="G33" s="15" t="s">
        <v>109</v>
      </c>
      <c r="H33" s="15" t="s">
        <v>48</v>
      </c>
      <c r="I33" s="15" t="s">
        <v>50</v>
      </c>
      <c r="J33" s="15" t="s">
        <v>51</v>
      </c>
      <c r="K33" s="15">
        <v>0</v>
      </c>
      <c r="L33" s="15">
        <v>1</v>
      </c>
      <c r="M33" s="15">
        <v>0</v>
      </c>
      <c r="N33" s="15">
        <v>1</v>
      </c>
      <c r="O33" s="15">
        <v>251</v>
      </c>
      <c r="P33" s="15" t="b">
        <v>1</v>
      </c>
      <c r="Q33" s="15" t="s">
        <v>83</v>
      </c>
      <c r="R33" s="15"/>
    </row>
    <row r="34" spans="1:18">
      <c r="A34" s="15">
        <v>18</v>
      </c>
      <c r="B34" s="15"/>
      <c r="C34" s="15"/>
      <c r="D34" s="15"/>
      <c r="E34" s="15"/>
      <c r="F34" s="15"/>
      <c r="G34" s="15"/>
      <c r="H34" s="15"/>
      <c r="I34" s="15"/>
      <c r="J34" s="15" t="s">
        <v>51</v>
      </c>
      <c r="K34" s="15">
        <v>0</v>
      </c>
      <c r="L34" s="15">
        <v>1</v>
      </c>
      <c r="M34" s="15">
        <v>0</v>
      </c>
      <c r="N34" s="15">
        <v>1</v>
      </c>
      <c r="O34" s="15">
        <v>252</v>
      </c>
      <c r="P34" s="15" t="b">
        <v>0</v>
      </c>
      <c r="Q34" s="15"/>
      <c r="R34" s="15"/>
    </row>
    <row r="35" spans="1:18">
      <c r="A35" s="15">
        <v>19</v>
      </c>
      <c r="B35" s="15" t="s">
        <v>56</v>
      </c>
      <c r="C35" s="15" t="s">
        <v>72</v>
      </c>
      <c r="D35" s="15" t="s">
        <v>49</v>
      </c>
      <c r="E35" s="18" t="s">
        <v>238</v>
      </c>
      <c r="F35" s="15" t="s">
        <v>57</v>
      </c>
      <c r="G35" s="15" t="s">
        <v>109</v>
      </c>
      <c r="H35" s="15" t="s">
        <v>54</v>
      </c>
      <c r="I35" s="15" t="s">
        <v>39</v>
      </c>
      <c r="J35" s="15" t="s">
        <v>51</v>
      </c>
      <c r="K35" s="15">
        <v>0</v>
      </c>
      <c r="L35" s="15">
        <v>1</v>
      </c>
      <c r="M35" s="15">
        <v>0</v>
      </c>
      <c r="N35" s="15">
        <v>1</v>
      </c>
      <c r="O35" s="15">
        <v>253</v>
      </c>
      <c r="P35" s="15" t="b">
        <v>1</v>
      </c>
      <c r="Q35" s="15" t="s">
        <v>229</v>
      </c>
      <c r="R35" s="15"/>
    </row>
    <row r="36" spans="1:18">
      <c r="A36" s="15">
        <v>20</v>
      </c>
      <c r="B36" s="15" t="s">
        <v>58</v>
      </c>
      <c r="C36" s="15" t="s">
        <v>72</v>
      </c>
      <c r="D36" s="15" t="s">
        <v>49</v>
      </c>
      <c r="E36" s="18" t="s">
        <v>238</v>
      </c>
      <c r="F36" s="15" t="s">
        <v>57</v>
      </c>
      <c r="G36" s="15" t="s">
        <v>109</v>
      </c>
      <c r="H36" s="15" t="s">
        <v>55</v>
      </c>
      <c r="I36" s="15" t="s">
        <v>39</v>
      </c>
      <c r="J36" s="15" t="s">
        <v>51</v>
      </c>
      <c r="K36" s="15">
        <v>0</v>
      </c>
      <c r="L36" s="15">
        <v>1</v>
      </c>
      <c r="M36" s="15">
        <v>0</v>
      </c>
      <c r="N36" s="15">
        <v>1</v>
      </c>
      <c r="O36" s="15">
        <v>254</v>
      </c>
      <c r="P36" s="15" t="b">
        <v>1</v>
      </c>
      <c r="Q36" s="15" t="s">
        <v>230</v>
      </c>
      <c r="R36" s="15"/>
    </row>
    <row r="37" spans="1:18">
      <c r="A37" s="15">
        <v>24</v>
      </c>
      <c r="B37" s="15" t="s">
        <v>108</v>
      </c>
      <c r="C37" s="15" t="s">
        <v>107</v>
      </c>
      <c r="D37" s="15" t="s">
        <v>49</v>
      </c>
      <c r="E37" s="15"/>
      <c r="F37" s="15" t="s">
        <v>57</v>
      </c>
      <c r="G37" s="15" t="s">
        <v>109</v>
      </c>
      <c r="H37" s="15" t="s">
        <v>106</v>
      </c>
      <c r="I37" s="15" t="s">
        <v>50</v>
      </c>
      <c r="J37" s="15" t="s">
        <v>51</v>
      </c>
      <c r="K37" s="15">
        <v>0</v>
      </c>
      <c r="L37" s="15">
        <v>1</v>
      </c>
      <c r="M37" s="15">
        <v>0</v>
      </c>
      <c r="N37" s="15">
        <v>1</v>
      </c>
      <c r="O37" s="15">
        <v>255</v>
      </c>
      <c r="P37" s="15" t="b">
        <v>1</v>
      </c>
      <c r="Q37" s="15" t="s">
        <v>113</v>
      </c>
      <c r="R37" s="15"/>
    </row>
    <row r="38" spans="1:18">
      <c r="A38" s="15">
        <v>32</v>
      </c>
      <c r="B38" s="15" t="s">
        <v>275</v>
      </c>
      <c r="C38" s="15" t="s">
        <v>97</v>
      </c>
      <c r="D38" s="15" t="s">
        <v>49</v>
      </c>
      <c r="E38" s="15"/>
      <c r="F38" s="15" t="s">
        <v>98</v>
      </c>
      <c r="G38" s="15" t="s">
        <v>98</v>
      </c>
      <c r="H38" s="15" t="s">
        <v>97</v>
      </c>
      <c r="I38" s="15" t="s">
        <v>97</v>
      </c>
      <c r="J38" s="15" t="s">
        <v>207</v>
      </c>
      <c r="K38" s="15">
        <v>0</v>
      </c>
      <c r="L38" s="15">
        <v>1</v>
      </c>
      <c r="M38" s="15">
        <v>0</v>
      </c>
      <c r="N38" s="15">
        <v>1</v>
      </c>
      <c r="O38" s="17">
        <v>256</v>
      </c>
      <c r="P38" s="15" t="b">
        <v>1</v>
      </c>
      <c r="Q38" s="15" t="s">
        <v>100</v>
      </c>
      <c r="R38" s="15"/>
    </row>
    <row r="39" spans="1:18">
      <c r="A39" s="15">
        <v>31</v>
      </c>
      <c r="B39" s="15" t="s">
        <v>276</v>
      </c>
      <c r="C39" s="15" t="s">
        <v>97</v>
      </c>
      <c r="D39" s="15" t="s">
        <v>53</v>
      </c>
      <c r="E39" s="15"/>
      <c r="F39" s="15" t="s">
        <v>98</v>
      </c>
      <c r="G39" s="15" t="s">
        <v>98</v>
      </c>
      <c r="H39" s="15" t="s">
        <v>97</v>
      </c>
      <c r="I39" s="15" t="s">
        <v>97</v>
      </c>
      <c r="J39" s="15" t="s">
        <v>207</v>
      </c>
      <c r="K39" s="15">
        <v>0</v>
      </c>
      <c r="L39" s="15">
        <v>1</v>
      </c>
      <c r="M39" s="15">
        <v>0</v>
      </c>
      <c r="N39" s="15">
        <v>1</v>
      </c>
      <c r="O39" s="15">
        <v>450</v>
      </c>
      <c r="P39" s="15" t="b">
        <v>1</v>
      </c>
      <c r="Q39" s="15" t="s">
        <v>99</v>
      </c>
      <c r="R39" s="15"/>
    </row>
    <row r="40" spans="1:18">
      <c r="A40" s="15">
        <v>33</v>
      </c>
      <c r="B40" s="15" t="s">
        <v>231</v>
      </c>
      <c r="C40" s="15" t="s">
        <v>97</v>
      </c>
      <c r="D40" s="15" t="s">
        <v>206</v>
      </c>
      <c r="E40" s="15"/>
      <c r="F40" s="15" t="s">
        <v>98</v>
      </c>
      <c r="G40" s="15" t="s">
        <v>98</v>
      </c>
      <c r="H40" s="15" t="s">
        <v>97</v>
      </c>
      <c r="I40" s="15" t="s">
        <v>97</v>
      </c>
      <c r="J40" s="15" t="s">
        <v>207</v>
      </c>
      <c r="K40" s="15">
        <v>0</v>
      </c>
      <c r="L40" s="15">
        <v>1</v>
      </c>
      <c r="M40" s="15">
        <v>0</v>
      </c>
      <c r="N40" s="15">
        <v>1</v>
      </c>
      <c r="O40" s="15">
        <v>451</v>
      </c>
      <c r="P40" s="15" t="b">
        <v>1</v>
      </c>
      <c r="Q40" s="15" t="s">
        <v>101</v>
      </c>
      <c r="R40" s="15"/>
    </row>
    <row r="41" spans="1:18">
      <c r="A41" s="15">
        <v>15</v>
      </c>
      <c r="B41" s="15"/>
      <c r="C41" s="15"/>
      <c r="D41" s="15"/>
      <c r="E41" s="15"/>
      <c r="F41" s="15"/>
      <c r="G41" s="15"/>
      <c r="H41" s="15"/>
      <c r="I41" s="15"/>
      <c r="J41" s="15" t="s">
        <v>51</v>
      </c>
      <c r="K41" s="15">
        <v>0</v>
      </c>
      <c r="L41" s="15">
        <v>1</v>
      </c>
      <c r="M41" s="15">
        <v>0</v>
      </c>
      <c r="N41" s="15">
        <v>1</v>
      </c>
      <c r="O41" s="15">
        <v>452</v>
      </c>
      <c r="P41" s="15" t="b">
        <v>0</v>
      </c>
      <c r="Q41" s="15"/>
      <c r="R41" s="15"/>
    </row>
    <row r="42" spans="1:18">
      <c r="A42" s="15">
        <v>16</v>
      </c>
      <c r="B42" s="15" t="s">
        <v>52</v>
      </c>
      <c r="C42" s="15" t="s">
        <v>72</v>
      </c>
      <c r="D42" s="15" t="s">
        <v>53</v>
      </c>
      <c r="E42" s="15"/>
      <c r="F42" s="15" t="s">
        <v>89</v>
      </c>
      <c r="G42" s="15" t="s">
        <v>109</v>
      </c>
      <c r="H42" s="15" t="s">
        <v>52</v>
      </c>
      <c r="I42" s="15" t="s">
        <v>39</v>
      </c>
      <c r="J42" s="15" t="s">
        <v>51</v>
      </c>
      <c r="K42" s="15">
        <v>0</v>
      </c>
      <c r="L42" s="15">
        <v>1</v>
      </c>
      <c r="M42" s="15">
        <v>0</v>
      </c>
      <c r="N42" s="15">
        <v>1</v>
      </c>
      <c r="O42" s="15">
        <v>453</v>
      </c>
      <c r="P42" s="15" t="b">
        <v>1</v>
      </c>
      <c r="Q42" s="15" t="s">
        <v>227</v>
      </c>
      <c r="R42" s="15"/>
    </row>
    <row r="43" spans="1:18">
      <c r="A43" s="15">
        <v>17</v>
      </c>
      <c r="B43" s="15" t="s">
        <v>54</v>
      </c>
      <c r="C43" s="15" t="s">
        <v>72</v>
      </c>
      <c r="D43" s="15" t="s">
        <v>53</v>
      </c>
      <c r="E43" s="15"/>
      <c r="F43" s="15" t="s">
        <v>89</v>
      </c>
      <c r="G43" s="15" t="s">
        <v>109</v>
      </c>
      <c r="H43" s="15" t="s">
        <v>54</v>
      </c>
      <c r="I43" s="15" t="s">
        <v>39</v>
      </c>
      <c r="J43" s="15" t="s">
        <v>51</v>
      </c>
      <c r="K43" s="15">
        <v>0</v>
      </c>
      <c r="L43" s="15">
        <v>1</v>
      </c>
      <c r="M43" s="15">
        <v>0</v>
      </c>
      <c r="N43" s="15">
        <v>1</v>
      </c>
      <c r="O43" s="15">
        <v>454</v>
      </c>
      <c r="P43" s="15" t="b">
        <v>1</v>
      </c>
      <c r="Q43" s="15" t="s">
        <v>228</v>
      </c>
      <c r="R43" s="15"/>
    </row>
    <row r="44" spans="1:18">
      <c r="A44" s="15">
        <v>23</v>
      </c>
      <c r="B44" s="15" t="s">
        <v>106</v>
      </c>
      <c r="C44" s="15" t="s">
        <v>107</v>
      </c>
      <c r="D44" s="15" t="s">
        <v>53</v>
      </c>
      <c r="E44" s="15"/>
      <c r="F44" s="15" t="s">
        <v>89</v>
      </c>
      <c r="G44" s="15" t="s">
        <v>109</v>
      </c>
      <c r="H44" s="15" t="s">
        <v>106</v>
      </c>
      <c r="I44" s="15" t="s">
        <v>50</v>
      </c>
      <c r="J44" s="15" t="s">
        <v>51</v>
      </c>
      <c r="K44" s="15">
        <v>0</v>
      </c>
      <c r="L44" s="15">
        <v>1</v>
      </c>
      <c r="M44" s="15">
        <v>0</v>
      </c>
      <c r="N44" s="15">
        <v>1</v>
      </c>
      <c r="O44" s="15">
        <v>455</v>
      </c>
      <c r="P44" s="15" t="b">
        <v>1</v>
      </c>
      <c r="Q44" s="15" t="s">
        <v>112</v>
      </c>
      <c r="R44" s="15"/>
    </row>
    <row r="45" spans="1:18">
      <c r="A45" s="15">
        <v>49</v>
      </c>
      <c r="B45" s="15" t="s">
        <v>273</v>
      </c>
      <c r="C45" s="15" t="s">
        <v>97</v>
      </c>
      <c r="D45" s="15" t="s">
        <v>206</v>
      </c>
      <c r="E45" s="15"/>
      <c r="F45" s="15"/>
      <c r="G45" s="15" t="s">
        <v>98</v>
      </c>
      <c r="H45" s="15" t="s">
        <v>97</v>
      </c>
      <c r="I45" s="15" t="s">
        <v>97</v>
      </c>
      <c r="J45" s="15" t="s">
        <v>207</v>
      </c>
      <c r="K45" s="15">
        <v>0</v>
      </c>
      <c r="L45" s="15">
        <v>1</v>
      </c>
      <c r="M45" s="15">
        <v>0</v>
      </c>
      <c r="N45" s="15">
        <v>1</v>
      </c>
      <c r="O45" s="15">
        <v>456</v>
      </c>
      <c r="P45" s="15" t="b">
        <v>1</v>
      </c>
      <c r="Q45" s="15" t="s">
        <v>274</v>
      </c>
      <c r="R45" s="15"/>
    </row>
    <row r="46" spans="1:18">
      <c r="A46" s="15">
        <v>34</v>
      </c>
      <c r="B46" s="15" t="s">
        <v>194</v>
      </c>
      <c r="C46" s="15" t="s">
        <v>97</v>
      </c>
      <c r="D46" s="15" t="s">
        <v>53</v>
      </c>
      <c r="E46" s="15"/>
      <c r="F46" s="15" t="s">
        <v>195</v>
      </c>
      <c r="G46" s="15" t="s">
        <v>98</v>
      </c>
      <c r="H46" s="15" t="s">
        <v>234</v>
      </c>
      <c r="I46" s="15" t="s">
        <v>97</v>
      </c>
      <c r="J46" s="15" t="s">
        <v>207</v>
      </c>
      <c r="K46" s="15">
        <v>0</v>
      </c>
      <c r="L46" s="15">
        <v>1</v>
      </c>
      <c r="M46" s="15">
        <v>0</v>
      </c>
      <c r="N46" s="15">
        <v>1</v>
      </c>
      <c r="O46" s="15">
        <v>460</v>
      </c>
      <c r="P46" s="15" t="b">
        <v>1</v>
      </c>
      <c r="Q46" s="16" t="s">
        <v>191</v>
      </c>
      <c r="R46" s="15"/>
    </row>
    <row r="47" spans="1:18">
      <c r="A47" s="15">
        <v>35</v>
      </c>
      <c r="B47" s="15" t="s">
        <v>198</v>
      </c>
      <c r="C47" s="15" t="s">
        <v>97</v>
      </c>
      <c r="D47" s="15" t="s">
        <v>53</v>
      </c>
      <c r="E47" s="15"/>
      <c r="F47" s="15" t="s">
        <v>196</v>
      </c>
      <c r="G47" s="15" t="s">
        <v>98</v>
      </c>
      <c r="H47" s="15" t="s">
        <v>233</v>
      </c>
      <c r="I47" s="15" t="s">
        <v>97</v>
      </c>
      <c r="J47" s="15" t="s">
        <v>207</v>
      </c>
      <c r="K47" s="15">
        <v>0</v>
      </c>
      <c r="L47" s="15">
        <v>1</v>
      </c>
      <c r="M47" s="15">
        <v>0</v>
      </c>
      <c r="N47" s="15">
        <v>1</v>
      </c>
      <c r="O47" s="15">
        <v>461</v>
      </c>
      <c r="P47" s="15" t="b">
        <v>1</v>
      </c>
      <c r="Q47" s="16" t="s">
        <v>192</v>
      </c>
      <c r="R47" s="15"/>
    </row>
    <row r="48" spans="1:18">
      <c r="A48" s="15">
        <v>36</v>
      </c>
      <c r="B48" s="15" t="s">
        <v>199</v>
      </c>
      <c r="C48" s="15" t="s">
        <v>97</v>
      </c>
      <c r="D48" s="15" t="s">
        <v>53</v>
      </c>
      <c r="E48" s="15"/>
      <c r="F48" s="15" t="s">
        <v>197</v>
      </c>
      <c r="G48" s="15" t="s">
        <v>98</v>
      </c>
      <c r="H48" s="15" t="s">
        <v>235</v>
      </c>
      <c r="I48" s="15" t="s">
        <v>97</v>
      </c>
      <c r="J48" s="15" t="s">
        <v>207</v>
      </c>
      <c r="K48" s="15">
        <v>0</v>
      </c>
      <c r="L48" s="15">
        <v>1</v>
      </c>
      <c r="M48" s="15">
        <v>0</v>
      </c>
      <c r="N48" s="15">
        <v>1</v>
      </c>
      <c r="O48" s="15">
        <v>462</v>
      </c>
      <c r="P48" s="15" t="b">
        <v>1</v>
      </c>
      <c r="Q48" s="16" t="s">
        <v>193</v>
      </c>
      <c r="R48" s="15"/>
    </row>
    <row r="49" spans="1:18">
      <c r="A49" s="15">
        <v>47</v>
      </c>
      <c r="B49" s="15" t="s">
        <v>221</v>
      </c>
      <c r="C49" s="15" t="s">
        <v>97</v>
      </c>
      <c r="D49" s="15" t="s">
        <v>206</v>
      </c>
      <c r="E49" s="15"/>
      <c r="F49" s="15" t="s">
        <v>222</v>
      </c>
      <c r="G49" s="15" t="s">
        <v>98</v>
      </c>
      <c r="H49" s="15" t="s">
        <v>97</v>
      </c>
      <c r="I49" s="15" t="s">
        <v>97</v>
      </c>
      <c r="J49" s="15" t="s">
        <v>207</v>
      </c>
      <c r="K49" s="15">
        <v>0</v>
      </c>
      <c r="L49" s="15">
        <v>1</v>
      </c>
      <c r="M49" s="15">
        <v>0</v>
      </c>
      <c r="N49" s="15">
        <v>1</v>
      </c>
      <c r="O49" s="15">
        <v>470</v>
      </c>
      <c r="P49" s="15" t="b">
        <v>0</v>
      </c>
      <c r="Q49" s="15" t="s">
        <v>204</v>
      </c>
      <c r="R49" s="15" t="s">
        <v>226</v>
      </c>
    </row>
    <row r="50" spans="1:18">
      <c r="A50" s="15">
        <v>48</v>
      </c>
      <c r="B50" s="15" t="s">
        <v>223</v>
      </c>
      <c r="C50" s="15" t="s">
        <v>97</v>
      </c>
      <c r="D50" s="15" t="s">
        <v>206</v>
      </c>
      <c r="E50" s="15"/>
      <c r="F50" s="15" t="s">
        <v>224</v>
      </c>
      <c r="G50" s="15" t="s">
        <v>98</v>
      </c>
      <c r="H50" s="15" t="s">
        <v>97</v>
      </c>
      <c r="I50" s="15" t="s">
        <v>97</v>
      </c>
      <c r="J50" s="15" t="s">
        <v>207</v>
      </c>
      <c r="K50" s="15">
        <v>0</v>
      </c>
      <c r="L50" s="15">
        <v>1</v>
      </c>
      <c r="M50" s="15">
        <v>0</v>
      </c>
      <c r="N50" s="15">
        <v>1</v>
      </c>
      <c r="O50" s="15">
        <v>471</v>
      </c>
      <c r="P50" s="15" t="b">
        <v>0</v>
      </c>
      <c r="Q50" s="15" t="s">
        <v>205</v>
      </c>
      <c r="R50" s="15" t="s">
        <v>225</v>
      </c>
    </row>
  </sheetData>
  <autoFilter ref="A1:R1" xr:uid="{7C485614-A5BE-4FB7-B2E6-807540769775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A1CF-1E8E-4879-84AA-A35AB5E8AD80}">
  <dimension ref="A1:B5"/>
  <sheetViews>
    <sheetView workbookViewId="0">
      <selection activeCell="F37" sqref="F37"/>
    </sheetView>
  </sheetViews>
  <sheetFormatPr defaultRowHeight="16.5"/>
  <cols>
    <col min="4" max="4" width="15.625" bestFit="1" customWidth="1"/>
  </cols>
  <sheetData>
    <row r="1" spans="1:2">
      <c r="A1" t="s">
        <v>13</v>
      </c>
      <c r="B1" t="s">
        <v>239</v>
      </c>
    </row>
    <row r="2" spans="1:2">
      <c r="A2" s="1" t="s">
        <v>234</v>
      </c>
      <c r="B2">
        <v>1000</v>
      </c>
    </row>
    <row r="3" spans="1:2">
      <c r="A3" s="1" t="s">
        <v>196</v>
      </c>
      <c r="B3">
        <v>1000</v>
      </c>
    </row>
    <row r="4" spans="1:2">
      <c r="A4" s="1" t="s">
        <v>197</v>
      </c>
      <c r="B4">
        <v>1000</v>
      </c>
    </row>
    <row r="5" spans="1:2">
      <c r="A5" s="1" t="s">
        <v>293</v>
      </c>
      <c r="B5">
        <v>1000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CB-D2A3-4A3A-8FEC-B5043EF68314}">
  <dimension ref="A1:G17"/>
  <sheetViews>
    <sheetView workbookViewId="0">
      <selection activeCell="C2" sqref="C2"/>
    </sheetView>
  </sheetViews>
  <sheetFormatPr defaultRowHeight="16.5"/>
  <cols>
    <col min="1" max="1" width="9" style="1"/>
    <col min="2" max="2" width="22" style="1" customWidth="1"/>
    <col min="3" max="3" width="9" style="1"/>
    <col min="4" max="4" width="60.875" style="1" customWidth="1"/>
    <col min="5" max="5" width="9" style="1"/>
    <col min="6" max="6" width="10.875" style="1" bestFit="1" customWidth="1"/>
    <col min="7" max="16384" width="9" style="1"/>
  </cols>
  <sheetData>
    <row r="1" spans="1:7">
      <c r="A1" s="1" t="s">
        <v>272</v>
      </c>
      <c r="B1" s="1" t="s">
        <v>232</v>
      </c>
      <c r="C1" s="1" t="s">
        <v>13</v>
      </c>
      <c r="D1" s="1" t="s">
        <v>17</v>
      </c>
      <c r="E1" s="1" t="s">
        <v>251</v>
      </c>
      <c r="F1" s="1" t="s">
        <v>10</v>
      </c>
      <c r="G1" s="1" t="s">
        <v>238</v>
      </c>
    </row>
    <row r="2" spans="1:7">
      <c r="A2" s="1">
        <v>1</v>
      </c>
      <c r="B2" s="1" t="s">
        <v>240</v>
      </c>
      <c r="C2" s="1" t="s">
        <v>234</v>
      </c>
      <c r="D2" s="1" t="s">
        <v>267</v>
      </c>
      <c r="E2" s="1" t="s">
        <v>89</v>
      </c>
      <c r="F2" s="11" t="s">
        <v>248</v>
      </c>
      <c r="G2" s="1">
        <v>100</v>
      </c>
    </row>
    <row r="3" spans="1:7">
      <c r="A3" s="1">
        <v>2</v>
      </c>
      <c r="B3" s="1" t="s">
        <v>241</v>
      </c>
      <c r="C3" s="1" t="s">
        <v>234</v>
      </c>
      <c r="D3" s="1" t="s">
        <v>268</v>
      </c>
      <c r="E3" s="1" t="s">
        <v>239</v>
      </c>
      <c r="F3" s="1" t="s">
        <v>249</v>
      </c>
      <c r="G3" s="1">
        <v>100</v>
      </c>
    </row>
    <row r="4" spans="1:7">
      <c r="A4" s="1">
        <v>3</v>
      </c>
      <c r="B4" s="1" t="s">
        <v>242</v>
      </c>
      <c r="C4" s="1" t="s">
        <v>234</v>
      </c>
      <c r="D4" s="1" t="s">
        <v>269</v>
      </c>
      <c r="E4" s="1" t="s">
        <v>89</v>
      </c>
      <c r="F4" s="1" t="s">
        <v>210</v>
      </c>
    </row>
    <row r="5" spans="1:7">
      <c r="A5" s="1">
        <v>4</v>
      </c>
      <c r="B5" s="1" t="s">
        <v>243</v>
      </c>
      <c r="C5" s="1" t="s">
        <v>234</v>
      </c>
      <c r="D5" s="1" t="s">
        <v>270</v>
      </c>
      <c r="E5" s="1" t="s">
        <v>89</v>
      </c>
      <c r="F5" s="1" t="s">
        <v>211</v>
      </c>
    </row>
    <row r="6" spans="1:7">
      <c r="A6" s="1">
        <v>5</v>
      </c>
      <c r="B6" s="1" t="s">
        <v>244</v>
      </c>
      <c r="C6" s="1" t="s">
        <v>234</v>
      </c>
      <c r="E6" s="1" t="s">
        <v>239</v>
      </c>
      <c r="F6" s="1" t="s">
        <v>219</v>
      </c>
      <c r="G6" s="1">
        <v>100</v>
      </c>
    </row>
    <row r="7" spans="1:7">
      <c r="A7" s="1">
        <v>6</v>
      </c>
      <c r="B7" s="1" t="s">
        <v>245</v>
      </c>
      <c r="C7" s="1" t="s">
        <v>234</v>
      </c>
      <c r="E7" s="1" t="s">
        <v>259</v>
      </c>
      <c r="G7" s="1">
        <v>3</v>
      </c>
    </row>
    <row r="8" spans="1:7">
      <c r="A8" s="1">
        <v>7</v>
      </c>
      <c r="B8" s="1" t="s">
        <v>246</v>
      </c>
      <c r="C8" s="1" t="s">
        <v>234</v>
      </c>
      <c r="E8" s="1" t="s">
        <v>239</v>
      </c>
      <c r="F8" s="1" t="s">
        <v>220</v>
      </c>
      <c r="G8" s="1">
        <v>10000</v>
      </c>
    </row>
    <row r="9" spans="1:7">
      <c r="A9" s="1">
        <v>8</v>
      </c>
      <c r="B9" s="1" t="s">
        <v>247</v>
      </c>
      <c r="C9" s="1" t="s">
        <v>234</v>
      </c>
      <c r="E9" s="1" t="s">
        <v>237</v>
      </c>
    </row>
    <row r="10" spans="1:7">
      <c r="A10" s="1">
        <v>9</v>
      </c>
      <c r="B10" s="1" t="s">
        <v>252</v>
      </c>
      <c r="C10" s="1" t="s">
        <v>236</v>
      </c>
      <c r="D10" s="2" t="s">
        <v>271</v>
      </c>
    </row>
    <row r="11" spans="1:7">
      <c r="A11" s="1">
        <v>10</v>
      </c>
      <c r="B11" s="1" t="s">
        <v>253</v>
      </c>
      <c r="C11" s="1" t="s">
        <v>236</v>
      </c>
      <c r="D11" s="1" t="s">
        <v>261</v>
      </c>
    </row>
    <row r="12" spans="1:7">
      <c r="A12" s="1">
        <v>11</v>
      </c>
      <c r="B12" s="1" t="s">
        <v>241</v>
      </c>
      <c r="C12" s="1" t="s">
        <v>236</v>
      </c>
      <c r="D12" s="1" t="s">
        <v>262</v>
      </c>
      <c r="E12" s="1" t="s">
        <v>239</v>
      </c>
      <c r="F12" s="1" t="s">
        <v>249</v>
      </c>
      <c r="G12" s="1">
        <v>1000</v>
      </c>
    </row>
    <row r="13" spans="1:7">
      <c r="A13" s="1">
        <v>12</v>
      </c>
      <c r="B13" s="1" t="s">
        <v>254</v>
      </c>
      <c r="C13" s="1" t="s">
        <v>236</v>
      </c>
      <c r="D13" s="1" t="s">
        <v>263</v>
      </c>
    </row>
    <row r="14" spans="1:7">
      <c r="A14" s="1">
        <v>13</v>
      </c>
      <c r="B14" s="1" t="s">
        <v>255</v>
      </c>
      <c r="C14" s="1" t="s">
        <v>236</v>
      </c>
      <c r="D14" s="1" t="s">
        <v>264</v>
      </c>
      <c r="E14" s="1" t="s">
        <v>239</v>
      </c>
      <c r="F14" s="1" t="s">
        <v>219</v>
      </c>
      <c r="G14" s="1">
        <v>1000</v>
      </c>
    </row>
    <row r="15" spans="1:7">
      <c r="A15" s="1">
        <v>14</v>
      </c>
      <c r="B15" s="1" t="s">
        <v>256</v>
      </c>
      <c r="C15" s="1" t="s">
        <v>236</v>
      </c>
      <c r="D15" s="1" t="s">
        <v>265</v>
      </c>
      <c r="E15" s="1" t="s">
        <v>260</v>
      </c>
      <c r="G15" s="1">
        <v>3</v>
      </c>
    </row>
    <row r="16" spans="1:7">
      <c r="A16" s="1">
        <v>15</v>
      </c>
      <c r="B16" s="1" t="s">
        <v>257</v>
      </c>
      <c r="C16" s="1" t="s">
        <v>236</v>
      </c>
      <c r="D16" s="1" t="s">
        <v>266</v>
      </c>
      <c r="E16" s="1" t="s">
        <v>239</v>
      </c>
      <c r="F16" s="1" t="s">
        <v>220</v>
      </c>
    </row>
    <row r="17" spans="1:3">
      <c r="A17" s="1">
        <v>16</v>
      </c>
      <c r="B17" s="1" t="s">
        <v>258</v>
      </c>
      <c r="C17" s="1" t="s">
        <v>236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2FA7-0D21-47F0-A24E-2D9F77BE45B2}">
  <dimension ref="A1:I18"/>
  <sheetViews>
    <sheetView workbookViewId="0"/>
  </sheetViews>
  <sheetFormatPr defaultRowHeight="16.5"/>
  <cols>
    <col min="1" max="1" width="25" bestFit="1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114</v>
      </c>
      <c r="B1" s="3" t="s">
        <v>11</v>
      </c>
      <c r="C1" s="3" t="s">
        <v>115</v>
      </c>
      <c r="D1" s="3" t="s">
        <v>116</v>
      </c>
      <c r="E1" s="3" t="s">
        <v>117</v>
      </c>
      <c r="F1" s="5" t="s">
        <v>155</v>
      </c>
      <c r="G1" s="3" t="s">
        <v>118</v>
      </c>
      <c r="H1" s="3" t="s">
        <v>17</v>
      </c>
      <c r="I1" s="3" t="s">
        <v>75</v>
      </c>
    </row>
    <row r="2" spans="1:9">
      <c r="A2" s="1" t="s">
        <v>119</v>
      </c>
      <c r="B2" s="1" t="s">
        <v>121</v>
      </c>
      <c r="C2" s="1" t="s">
        <v>120</v>
      </c>
      <c r="D2" s="1" t="s">
        <v>130</v>
      </c>
      <c r="E2" s="1" t="s">
        <v>129</v>
      </c>
      <c r="F2" s="6">
        <f>175241*4</f>
        <v>700964</v>
      </c>
      <c r="G2" s="7" t="s">
        <v>127</v>
      </c>
      <c r="H2" s="1" t="s">
        <v>156</v>
      </c>
      <c r="I2" s="1" t="s">
        <v>128</v>
      </c>
    </row>
    <row r="3" spans="1:9">
      <c r="A3" s="1" t="s">
        <v>122</v>
      </c>
      <c r="B3" s="1" t="s">
        <v>123</v>
      </c>
      <c r="C3" s="1"/>
      <c r="D3" s="1" t="s">
        <v>124</v>
      </c>
      <c r="E3" s="1" t="s">
        <v>125</v>
      </c>
      <c r="F3" s="6">
        <v>237420</v>
      </c>
      <c r="G3" s="8" t="s">
        <v>126</v>
      </c>
      <c r="H3" s="1" t="s">
        <v>157</v>
      </c>
      <c r="I3" s="1" t="s">
        <v>128</v>
      </c>
    </row>
    <row r="4" spans="1:9">
      <c r="A4" s="1" t="s">
        <v>131</v>
      </c>
      <c r="B4" s="1" t="s">
        <v>121</v>
      </c>
      <c r="C4" s="1" t="s">
        <v>120</v>
      </c>
      <c r="D4" s="1"/>
      <c r="E4" s="1" t="s">
        <v>136</v>
      </c>
      <c r="F4" s="6">
        <v>509000</v>
      </c>
      <c r="G4" s="8" t="s">
        <v>132</v>
      </c>
      <c r="H4" s="1" t="s">
        <v>158</v>
      </c>
      <c r="I4" s="1" t="s">
        <v>128</v>
      </c>
    </row>
    <row r="5" spans="1:9">
      <c r="A5" s="1" t="s">
        <v>135</v>
      </c>
      <c r="B5" s="1" t="s">
        <v>121</v>
      </c>
      <c r="C5" s="1" t="s">
        <v>120</v>
      </c>
      <c r="D5" s="1"/>
      <c r="E5" s="1" t="s">
        <v>136</v>
      </c>
      <c r="F5" s="6"/>
      <c r="G5" s="1"/>
      <c r="H5" s="1" t="s">
        <v>159</v>
      </c>
      <c r="I5" s="1" t="s">
        <v>167</v>
      </c>
    </row>
    <row r="6" spans="1:9" ht="33">
      <c r="A6" s="1" t="s">
        <v>133</v>
      </c>
      <c r="B6" s="1" t="s">
        <v>121</v>
      </c>
      <c r="C6" s="1" t="s">
        <v>120</v>
      </c>
      <c r="D6" s="1"/>
      <c r="E6" s="1" t="s">
        <v>152</v>
      </c>
      <c r="F6" s="6"/>
      <c r="G6" s="1"/>
      <c r="H6" s="1" t="s">
        <v>160</v>
      </c>
      <c r="I6" s="2" t="s">
        <v>168</v>
      </c>
    </row>
    <row r="7" spans="1:9">
      <c r="A7" s="1" t="s">
        <v>134</v>
      </c>
      <c r="B7" s="1" t="s">
        <v>121</v>
      </c>
      <c r="C7" s="1" t="s">
        <v>120</v>
      </c>
      <c r="D7" s="1"/>
      <c r="E7" s="1" t="s">
        <v>141</v>
      </c>
      <c r="F7" s="6"/>
      <c r="G7" s="1"/>
      <c r="H7" s="1" t="s">
        <v>161</v>
      </c>
      <c r="I7" s="1"/>
    </row>
    <row r="8" spans="1:9">
      <c r="A8" s="1" t="s">
        <v>153</v>
      </c>
      <c r="B8" s="1" t="s">
        <v>121</v>
      </c>
      <c r="C8" s="1" t="s">
        <v>120</v>
      </c>
      <c r="D8" s="1"/>
      <c r="E8" s="1" t="s">
        <v>141</v>
      </c>
      <c r="F8" s="6">
        <v>85000</v>
      </c>
      <c r="G8" s="9" t="s">
        <v>154</v>
      </c>
      <c r="H8" s="1" t="s">
        <v>162</v>
      </c>
      <c r="I8" s="1"/>
    </row>
    <row r="9" spans="1:9">
      <c r="A9" s="1" t="s">
        <v>139</v>
      </c>
      <c r="B9" s="1"/>
      <c r="C9" s="1" t="s">
        <v>137</v>
      </c>
      <c r="D9" s="1"/>
      <c r="E9" s="1" t="s">
        <v>141</v>
      </c>
      <c r="F9" s="6">
        <v>55200</v>
      </c>
      <c r="G9" s="8" t="s">
        <v>140</v>
      </c>
      <c r="H9" s="1" t="s">
        <v>163</v>
      </c>
      <c r="I9" s="1"/>
    </row>
    <row r="10" spans="1:9" ht="33">
      <c r="A10" s="1" t="s">
        <v>138</v>
      </c>
      <c r="B10" s="1"/>
      <c r="C10" s="1"/>
      <c r="D10" s="1"/>
      <c r="E10" s="1" t="s">
        <v>141</v>
      </c>
      <c r="F10" s="6"/>
      <c r="G10" s="1"/>
      <c r="H10" s="1" t="s">
        <v>164</v>
      </c>
      <c r="I10" s="2" t="s">
        <v>169</v>
      </c>
    </row>
    <row r="11" spans="1:9">
      <c r="A11" s="1" t="s">
        <v>142</v>
      </c>
      <c r="B11" s="1" t="s">
        <v>143</v>
      </c>
      <c r="C11" s="1" t="s">
        <v>144</v>
      </c>
      <c r="D11" s="1" t="s">
        <v>145</v>
      </c>
      <c r="E11" s="1" t="s">
        <v>141</v>
      </c>
      <c r="F11" s="6"/>
      <c r="G11" s="8" t="s">
        <v>146</v>
      </c>
      <c r="H11" s="1" t="s">
        <v>165</v>
      </c>
      <c r="I11" s="1" t="s">
        <v>170</v>
      </c>
    </row>
    <row r="12" spans="1:9">
      <c r="A12" s="1" t="s">
        <v>149</v>
      </c>
      <c r="B12" s="10" t="s">
        <v>148</v>
      </c>
      <c r="C12" s="1" t="s">
        <v>150</v>
      </c>
      <c r="D12" s="1" t="s">
        <v>151</v>
      </c>
      <c r="E12" s="1" t="s">
        <v>129</v>
      </c>
      <c r="F12" s="6">
        <f>6700*4</f>
        <v>26800</v>
      </c>
      <c r="G12" s="7" t="s">
        <v>147</v>
      </c>
      <c r="H12" s="1" t="s">
        <v>166</v>
      </c>
      <c r="I12" s="1" t="s">
        <v>128</v>
      </c>
    </row>
    <row r="13" spans="1:9">
      <c r="A13" s="1" t="s">
        <v>171</v>
      </c>
      <c r="B13" s="1" t="s">
        <v>172</v>
      </c>
      <c r="C13" s="1" t="s">
        <v>173</v>
      </c>
      <c r="D13" s="1" t="s">
        <v>174</v>
      </c>
      <c r="E13" s="1" t="s">
        <v>141</v>
      </c>
      <c r="F13" s="6">
        <v>2464000</v>
      </c>
      <c r="G13" s="8" t="s">
        <v>175</v>
      </c>
      <c r="H13" s="1" t="s">
        <v>176</v>
      </c>
      <c r="I13" s="1"/>
    </row>
    <row r="14" spans="1:9" ht="33">
      <c r="A14" s="1" t="s">
        <v>82</v>
      </c>
      <c r="B14" s="2" t="s">
        <v>177</v>
      </c>
      <c r="C14" s="1"/>
      <c r="D14" s="1" t="s">
        <v>178</v>
      </c>
      <c r="E14" s="1" t="s">
        <v>141</v>
      </c>
      <c r="F14" s="6">
        <v>230989</v>
      </c>
      <c r="G14" s="8" t="s">
        <v>179</v>
      </c>
      <c r="H14" s="1" t="s">
        <v>180</v>
      </c>
      <c r="I14" s="1"/>
    </row>
    <row r="18" spans="1:9">
      <c r="A18" t="s">
        <v>277</v>
      </c>
      <c r="C18" t="s">
        <v>281</v>
      </c>
      <c r="D18" s="12" t="s">
        <v>278</v>
      </c>
      <c r="E18" t="s">
        <v>141</v>
      </c>
      <c r="F18" s="4">
        <v>311300</v>
      </c>
      <c r="G18" s="13" t="s">
        <v>282</v>
      </c>
      <c r="H18" t="s">
        <v>280</v>
      </c>
      <c r="I18" t="s">
        <v>279</v>
      </c>
    </row>
  </sheetData>
  <phoneticPr fontId="1" type="noConversion"/>
  <hyperlinks>
    <hyperlink ref="G2" r:id="rId1" xr:uid="{FBE39C7D-2A00-4525-AF44-06920D4FCF3F}"/>
    <hyperlink ref="G9" r:id="rId2" xr:uid="{B321C4A7-AC7D-4955-BA5E-6CDE501C8F7E}"/>
    <hyperlink ref="G11" r:id="rId3" location="kboard-document" xr:uid="{5242793C-EE9B-4EE1-BB9D-2D91E82D05E6}"/>
    <hyperlink ref="G12" r:id="rId4" display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xr:uid="{0BDF825D-0FC7-4826-9271-84725A000351}"/>
    <hyperlink ref="G3" r:id="rId5" xr:uid="{65D65CBB-165B-4517-8B3D-E41E98FC533B}"/>
    <hyperlink ref="G13" r:id="rId6" xr:uid="{3B7A17F2-73F9-4C4D-9EA6-E1B99B39B903}"/>
    <hyperlink ref="G14" r:id="rId7" xr:uid="{CD52C948-C15F-4897-8357-138B55590F63}"/>
    <hyperlink ref="G4" r:id="rId8" display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xr:uid="{57EBB643-7355-4A8D-9637-AD9706193488}"/>
    <hyperlink ref="G18" r:id="rId9" xr:uid="{82B94357-9C46-425C-B332-CC04B63AC81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3" ma:contentTypeDescription="새 문서를 만듭니다." ma:contentTypeScope="" ma:versionID="1470e3a446c8628d96ae8a57d75be0b8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68487b454b2d0fdb82ae248fea2befb1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CA5C0A-123A-482D-9740-A5FEEB670C26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8c09c20-cf94-447c-8c86-a27e8b975351"/>
  </ds:schemaRefs>
</ds:datastoreItem>
</file>

<file path=customXml/itemProps2.xml><?xml version="1.0" encoding="utf-8"?>
<ds:datastoreItem xmlns:ds="http://schemas.openxmlformats.org/officeDocument/2006/customXml" ds:itemID="{21529231-6B89-4ED0-BD3A-09A6E1C3C7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3931DA-C286-494B-ABF4-DE699AB06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9c20-cf94-447c-8c86-a27e8b975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암모니아 실험 개요</vt:lpstr>
      <vt:lpstr>IO_List</vt:lpstr>
      <vt:lpstr>ExperimentDefineTable</vt:lpstr>
      <vt:lpstr>ExperimentInfo</vt:lpstr>
      <vt:lpstr>배관 자재 리스트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2778</cp:lastModifiedBy>
  <cp:revision/>
  <dcterms:created xsi:type="dcterms:W3CDTF">2015-06-05T18:19:34Z</dcterms:created>
  <dcterms:modified xsi:type="dcterms:W3CDTF">2026-05-15T00:30:30Z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